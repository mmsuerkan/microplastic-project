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oktamis\Desktop\tübitak\Surface area\"/>
    </mc:Choice>
  </mc:AlternateContent>
  <xr:revisionPtr revIDLastSave="0" documentId="13_ncr:1_{157EB8A8-FD09-4C9D-B027-EA3BE59B55B3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ABS CYLINDER" sheetId="2" r:id="rId1"/>
    <sheet name="ABS HC" sheetId="6" r:id="rId2"/>
    <sheet name="PLA CYLINDER " sheetId="7" r:id="rId3"/>
    <sheet name="PLA CUBE " sheetId="8" r:id="rId4"/>
    <sheet name="PLA HC " sheetId="9" r:id="rId5"/>
    <sheet name="PS EC " sheetId="10" r:id="rId6"/>
    <sheet name="RESIN (a=9 mm)" sheetId="16" r:id="rId7"/>
    <sheet name="RESIN (a=6 mm) " sheetId="17" r:id="rId8"/>
    <sheet name="P6 BSP " sheetId="19" r:id="rId9"/>
    <sheet name="P6 HC " sheetId="20" r:id="rId10"/>
    <sheet name="P6 CYLINDER " sheetId="21" r:id="rId11"/>
    <sheet name="PMMA BSP" sheetId="22" r:id="rId12"/>
    <sheet name="PMMA Cylinder" sheetId="23" r:id="rId13"/>
    <sheet name="PMMA Wedge-Shaped" sheetId="24" r:id="rId14"/>
    <sheet name="PMMA Half Cylinder" sheetId="25" r:id="rId15"/>
  </sheets>
  <definedNames>
    <definedName name="_xlnm._FilterDatabase" localSheetId="7" hidden="1">'RESIN (a=6 mm) '!$A$2:$F$30</definedName>
    <definedName name="_xlnm._FilterDatabase" localSheetId="6" hidden="1">'RESIN (a=9 mm)'!$A$2:$H$29</definedName>
    <definedName name="_xlnm.Print_Area" localSheetId="3">'PLA CUBE '!$A$1:$L$31</definedName>
    <definedName name="_xlnm.Print_Area" localSheetId="2">'PLA CYLINDER '!$A$1:$I$31</definedName>
    <definedName name="_xlnm.Print_Area" localSheetId="5">'PS EC '!$A$1:$L$13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6" l="1"/>
  <c r="G5" i="16"/>
  <c r="G6" i="16"/>
  <c r="G7" i="16"/>
  <c r="G3" i="16"/>
  <c r="AD3" i="24"/>
  <c r="AD3" i="22"/>
  <c r="Z4" i="21"/>
  <c r="Z5" i="21"/>
  <c r="Z3" i="21"/>
  <c r="AD3" i="20"/>
  <c r="M3" i="25"/>
  <c r="N3" i="25"/>
  <c r="O3" i="25"/>
  <c r="P3" i="25"/>
  <c r="Q3" i="25"/>
  <c r="R3" i="25"/>
  <c r="S3" i="25"/>
  <c r="V3" i="25" s="1"/>
  <c r="AA3" i="25" s="1"/>
  <c r="AB3" i="25" s="1"/>
  <c r="AC3" i="25" s="1"/>
  <c r="T3" i="25"/>
  <c r="U3" i="25"/>
  <c r="X3" i="25"/>
  <c r="Y3" i="25"/>
  <c r="AD3" i="25"/>
  <c r="M4" i="25"/>
  <c r="N4" i="25"/>
  <c r="O4" i="25"/>
  <c r="P4" i="25"/>
  <c r="Q4" i="25"/>
  <c r="R4" i="25"/>
  <c r="S4" i="25"/>
  <c r="T4" i="25"/>
  <c r="U4" i="25"/>
  <c r="V4" i="25"/>
  <c r="AA4" i="25" s="1"/>
  <c r="AB4" i="25" s="1"/>
  <c r="AC4" i="25" s="1"/>
  <c r="W4" i="25"/>
  <c r="X4" i="25"/>
  <c r="Y4" i="25"/>
  <c r="Z4" i="25"/>
  <c r="AD4" i="25"/>
  <c r="M5" i="25"/>
  <c r="N5" i="25"/>
  <c r="O5" i="25"/>
  <c r="P5" i="25"/>
  <c r="Q5" i="25"/>
  <c r="R5" i="25"/>
  <c r="S5" i="25"/>
  <c r="V5" i="25" s="1"/>
  <c r="AA5" i="25" s="1"/>
  <c r="AB5" i="25" s="1"/>
  <c r="AC5" i="25" s="1"/>
  <c r="T5" i="25"/>
  <c r="U5" i="25"/>
  <c r="Y5" i="25" s="1"/>
  <c r="X5" i="25"/>
  <c r="AD5" i="25"/>
  <c r="M6" i="25"/>
  <c r="N6" i="25"/>
  <c r="O6" i="25"/>
  <c r="AD6" i="25" s="1"/>
  <c r="P6" i="25"/>
  <c r="Q6" i="25"/>
  <c r="R6" i="25"/>
  <c r="S6" i="25"/>
  <c r="W6" i="25" s="1"/>
  <c r="T6" i="25"/>
  <c r="X6" i="25" s="1"/>
  <c r="U6" i="25"/>
  <c r="Y6" i="25" s="1"/>
  <c r="V6" i="25"/>
  <c r="AA6" i="25" s="1"/>
  <c r="AB6" i="25" s="1"/>
  <c r="AC6" i="25" s="1"/>
  <c r="M7" i="25"/>
  <c r="N7" i="25"/>
  <c r="O7" i="25"/>
  <c r="P7" i="25"/>
  <c r="Q7" i="25"/>
  <c r="R7" i="25"/>
  <c r="S7" i="25"/>
  <c r="T7" i="25"/>
  <c r="X7" i="25" s="1"/>
  <c r="U7" i="25"/>
  <c r="Y7" i="25" s="1"/>
  <c r="AD7" i="25"/>
  <c r="M8" i="25"/>
  <c r="N8" i="25"/>
  <c r="O8" i="25"/>
  <c r="P8" i="25"/>
  <c r="Q8" i="25"/>
  <c r="R8" i="25"/>
  <c r="S8" i="25"/>
  <c r="V8" i="25" s="1"/>
  <c r="AA8" i="25" s="1"/>
  <c r="AB8" i="25" s="1"/>
  <c r="AC8" i="25" s="1"/>
  <c r="T8" i="25"/>
  <c r="U8" i="25"/>
  <c r="X8" i="25"/>
  <c r="Y8" i="25"/>
  <c r="AD8" i="25"/>
  <c r="M9" i="25"/>
  <c r="N9" i="25"/>
  <c r="AD9" i="25" s="1"/>
  <c r="O9" i="25"/>
  <c r="P9" i="25"/>
  <c r="Q9" i="25"/>
  <c r="R9" i="25"/>
  <c r="S9" i="25"/>
  <c r="T9" i="25"/>
  <c r="U9" i="25"/>
  <c r="V9" i="25"/>
  <c r="AA9" i="25" s="1"/>
  <c r="AB9" i="25" s="1"/>
  <c r="AC9" i="25" s="1"/>
  <c r="W9" i="25"/>
  <c r="Z9" i="25" s="1"/>
  <c r="X9" i="25"/>
  <c r="Y9" i="25"/>
  <c r="M10" i="25"/>
  <c r="N10" i="25"/>
  <c r="AD10" i="25" s="1"/>
  <c r="O10" i="25"/>
  <c r="P10" i="25"/>
  <c r="Q10" i="25"/>
  <c r="R10" i="25"/>
  <c r="S10" i="25"/>
  <c r="T10" i="25"/>
  <c r="U10" i="25"/>
  <c r="Y10" i="25" s="1"/>
  <c r="W10" i="25"/>
  <c r="M11" i="25"/>
  <c r="N11" i="25"/>
  <c r="O11" i="25"/>
  <c r="P11" i="25"/>
  <c r="Q11" i="25"/>
  <c r="R11" i="25"/>
  <c r="S11" i="25"/>
  <c r="T11" i="25"/>
  <c r="U11" i="25"/>
  <c r="X11" i="25"/>
  <c r="Y11" i="25"/>
  <c r="AD11" i="25"/>
  <c r="M12" i="25"/>
  <c r="N12" i="25"/>
  <c r="O12" i="25"/>
  <c r="P12" i="25"/>
  <c r="Q12" i="25"/>
  <c r="R12" i="25"/>
  <c r="S12" i="25"/>
  <c r="T12" i="25"/>
  <c r="U12" i="25"/>
  <c r="X12" i="25"/>
  <c r="Y12" i="25"/>
  <c r="AD12" i="25"/>
  <c r="M13" i="25"/>
  <c r="N13" i="25"/>
  <c r="O13" i="25"/>
  <c r="AD13" i="25" s="1"/>
  <c r="P13" i="25"/>
  <c r="Q13" i="25"/>
  <c r="R13" i="25"/>
  <c r="S13" i="25"/>
  <c r="T13" i="25"/>
  <c r="X13" i="25" s="1"/>
  <c r="U13" i="25"/>
  <c r="Y13" i="25" s="1"/>
  <c r="M14" i="25"/>
  <c r="N14" i="25"/>
  <c r="O14" i="25"/>
  <c r="AD14" i="25" s="1"/>
  <c r="P14" i="25"/>
  <c r="Q14" i="25"/>
  <c r="R14" i="25"/>
  <c r="S14" i="25"/>
  <c r="W14" i="25" s="1"/>
  <c r="T14" i="25"/>
  <c r="X14" i="25" s="1"/>
  <c r="U14" i="25"/>
  <c r="Y14" i="25" s="1"/>
  <c r="V14" i="25"/>
  <c r="AA14" i="25" s="1"/>
  <c r="AB14" i="25"/>
  <c r="AC14" i="25" s="1"/>
  <c r="M15" i="25"/>
  <c r="N15" i="25"/>
  <c r="O15" i="25"/>
  <c r="P15" i="25"/>
  <c r="Q15" i="25"/>
  <c r="R15" i="25"/>
  <c r="S15" i="25"/>
  <c r="T15" i="25"/>
  <c r="X15" i="25" s="1"/>
  <c r="U15" i="25"/>
  <c r="Y15" i="25" s="1"/>
  <c r="AD15" i="25"/>
  <c r="M16" i="25"/>
  <c r="N16" i="25"/>
  <c r="O16" i="25"/>
  <c r="P16" i="25"/>
  <c r="Q16" i="25"/>
  <c r="R16" i="25"/>
  <c r="S16" i="25"/>
  <c r="V16" i="25" s="1"/>
  <c r="AA16" i="25" s="1"/>
  <c r="T16" i="25"/>
  <c r="U16" i="25"/>
  <c r="X16" i="25"/>
  <c r="Y16" i="25"/>
  <c r="AB16" i="25"/>
  <c r="AC16" i="25"/>
  <c r="AD16" i="25"/>
  <c r="M17" i="25"/>
  <c r="N17" i="25"/>
  <c r="O17" i="25"/>
  <c r="AD17" i="25" s="1"/>
  <c r="P17" i="25"/>
  <c r="Q17" i="25"/>
  <c r="R17" i="25"/>
  <c r="S17" i="25"/>
  <c r="T17" i="25"/>
  <c r="U17" i="25"/>
  <c r="V17" i="25"/>
  <c r="W17" i="25"/>
  <c r="X17" i="25"/>
  <c r="Y17" i="25"/>
  <c r="Z17" i="25"/>
  <c r="AA17" i="25"/>
  <c r="AB17" i="25"/>
  <c r="AC17" i="25" s="1"/>
  <c r="M18" i="25"/>
  <c r="N18" i="25"/>
  <c r="O18" i="25"/>
  <c r="P18" i="25"/>
  <c r="Q18" i="25"/>
  <c r="R18" i="25"/>
  <c r="S18" i="25"/>
  <c r="T18" i="25"/>
  <c r="U18" i="25"/>
  <c r="W18" i="25"/>
  <c r="Y18" i="25"/>
  <c r="AD18" i="25"/>
  <c r="M19" i="25"/>
  <c r="N19" i="25"/>
  <c r="O19" i="25"/>
  <c r="P19" i="25"/>
  <c r="Q19" i="25"/>
  <c r="R19" i="25"/>
  <c r="S19" i="25"/>
  <c r="V19" i="25" s="1"/>
  <c r="T19" i="25"/>
  <c r="U19" i="25"/>
  <c r="W19" i="25"/>
  <c r="X19" i="25"/>
  <c r="Y19" i="25"/>
  <c r="Z19" i="25"/>
  <c r="AA19" i="25"/>
  <c r="AB19" i="25" s="1"/>
  <c r="AC19" i="25" s="1"/>
  <c r="AD19" i="25"/>
  <c r="M20" i="25"/>
  <c r="N20" i="25"/>
  <c r="O20" i="25"/>
  <c r="AD20" i="25" s="1"/>
  <c r="P20" i="25"/>
  <c r="Q20" i="25"/>
  <c r="R20" i="25"/>
  <c r="S20" i="25"/>
  <c r="T20" i="25"/>
  <c r="U20" i="25"/>
  <c r="V20" i="25"/>
  <c r="AA20" i="25" s="1"/>
  <c r="AB20" i="25" s="1"/>
  <c r="AC20" i="25" s="1"/>
  <c r="W20" i="25"/>
  <c r="X20" i="25"/>
  <c r="Y20" i="25"/>
  <c r="Z20" i="25"/>
  <c r="M21" i="25"/>
  <c r="N21" i="25"/>
  <c r="O21" i="25"/>
  <c r="P21" i="25"/>
  <c r="Q21" i="25"/>
  <c r="R21" i="25"/>
  <c r="S21" i="25"/>
  <c r="T21" i="25"/>
  <c r="U21" i="25"/>
  <c r="Y21" i="25" s="1"/>
  <c r="X21" i="25"/>
  <c r="AD21" i="25"/>
  <c r="M22" i="25"/>
  <c r="N22" i="25"/>
  <c r="O22" i="25"/>
  <c r="AD22" i="25" s="1"/>
  <c r="P22" i="25"/>
  <c r="Q22" i="25"/>
  <c r="R22" i="25"/>
  <c r="S22" i="25"/>
  <c r="W22" i="25" s="1"/>
  <c r="T22" i="25"/>
  <c r="X22" i="25" s="1"/>
  <c r="U22" i="25"/>
  <c r="Y22" i="25" s="1"/>
  <c r="V22" i="25"/>
  <c r="AA22" i="25" s="1"/>
  <c r="AB22" i="25"/>
  <c r="AC22" i="25" s="1"/>
  <c r="M23" i="25"/>
  <c r="N23" i="25"/>
  <c r="O23" i="25"/>
  <c r="AD23" i="25" s="1"/>
  <c r="P23" i="25"/>
  <c r="Q23" i="25"/>
  <c r="R23" i="25"/>
  <c r="S23" i="25"/>
  <c r="T23" i="25"/>
  <c r="X23" i="25" s="1"/>
  <c r="U23" i="25"/>
  <c r="Y23" i="25"/>
  <c r="M24" i="25"/>
  <c r="N24" i="25"/>
  <c r="O24" i="25"/>
  <c r="P24" i="25"/>
  <c r="Q24" i="25"/>
  <c r="R24" i="25"/>
  <c r="S24" i="25"/>
  <c r="T24" i="25"/>
  <c r="V24" i="25" s="1"/>
  <c r="AA24" i="25" s="1"/>
  <c r="AB24" i="25" s="1"/>
  <c r="AC24" i="25" s="1"/>
  <c r="U24" i="25"/>
  <c r="W24" i="25"/>
  <c r="X24" i="25"/>
  <c r="Y24" i="25"/>
  <c r="AD24" i="25"/>
  <c r="M25" i="25"/>
  <c r="N25" i="25"/>
  <c r="O25" i="25"/>
  <c r="AD25" i="25" s="1"/>
  <c r="P25" i="25"/>
  <c r="Q25" i="25"/>
  <c r="R25" i="25"/>
  <c r="S25" i="25"/>
  <c r="T25" i="25"/>
  <c r="U25" i="25"/>
  <c r="V25" i="25"/>
  <c r="AA25" i="25" s="1"/>
  <c r="W25" i="25"/>
  <c r="X25" i="25"/>
  <c r="Y25" i="25"/>
  <c r="Z25" i="25"/>
  <c r="AB25" i="25"/>
  <c r="AC25" i="25"/>
  <c r="M26" i="25"/>
  <c r="N26" i="25"/>
  <c r="O26" i="25"/>
  <c r="P26" i="25"/>
  <c r="Q26" i="25"/>
  <c r="R26" i="25"/>
  <c r="S26" i="25"/>
  <c r="T26" i="25"/>
  <c r="U26" i="25"/>
  <c r="W26" i="25"/>
  <c r="Y26" i="25"/>
  <c r="AD26" i="25"/>
  <c r="M27" i="25"/>
  <c r="N27" i="25"/>
  <c r="O27" i="25"/>
  <c r="P27" i="25"/>
  <c r="Q27" i="25"/>
  <c r="R27" i="25"/>
  <c r="S27" i="25"/>
  <c r="T27" i="25"/>
  <c r="U27" i="25"/>
  <c r="X27" i="25"/>
  <c r="Y27" i="25"/>
  <c r="AD27" i="25"/>
  <c r="M28" i="25"/>
  <c r="N28" i="25"/>
  <c r="O28" i="25"/>
  <c r="P28" i="25"/>
  <c r="Q28" i="25"/>
  <c r="R28" i="25"/>
  <c r="S28" i="25"/>
  <c r="T28" i="25"/>
  <c r="U28" i="25"/>
  <c r="V28" i="25"/>
  <c r="AA28" i="25" s="1"/>
  <c r="AB28" i="25" s="1"/>
  <c r="AC28" i="25" s="1"/>
  <c r="W28" i="25"/>
  <c r="X28" i="25"/>
  <c r="Y28" i="25"/>
  <c r="AD28" i="25"/>
  <c r="M29" i="25"/>
  <c r="N29" i="25"/>
  <c r="AD29" i="25" s="1"/>
  <c r="O29" i="25"/>
  <c r="P29" i="25"/>
  <c r="Q29" i="25"/>
  <c r="R29" i="25"/>
  <c r="S29" i="25"/>
  <c r="T29" i="25"/>
  <c r="U29" i="25"/>
  <c r="Y29" i="25" s="1"/>
  <c r="X29" i="25"/>
  <c r="M30" i="25"/>
  <c r="N30" i="25"/>
  <c r="O30" i="25"/>
  <c r="AD30" i="25" s="1"/>
  <c r="P30" i="25"/>
  <c r="Q30" i="25"/>
  <c r="R30" i="25"/>
  <c r="S30" i="25"/>
  <c r="W30" i="25" s="1"/>
  <c r="T30" i="25"/>
  <c r="X30" i="25" s="1"/>
  <c r="U30" i="25"/>
  <c r="Y30" i="25" s="1"/>
  <c r="M31" i="25"/>
  <c r="N31" i="25"/>
  <c r="O31" i="25"/>
  <c r="P31" i="25"/>
  <c r="Q31" i="25"/>
  <c r="R31" i="25"/>
  <c r="S31" i="25"/>
  <c r="T31" i="25"/>
  <c r="X31" i="25" s="1"/>
  <c r="U31" i="25"/>
  <c r="Y31" i="25"/>
  <c r="AD31" i="25"/>
  <c r="M32" i="25"/>
  <c r="N32" i="25"/>
  <c r="O32" i="25"/>
  <c r="P32" i="25"/>
  <c r="Q32" i="25"/>
  <c r="R32" i="25"/>
  <c r="S32" i="25"/>
  <c r="V32" i="25" s="1"/>
  <c r="T32" i="25"/>
  <c r="U32" i="25"/>
  <c r="X32" i="25"/>
  <c r="Y32" i="25"/>
  <c r="AA32" i="25"/>
  <c r="AB32" i="25"/>
  <c r="AC32" i="25" s="1"/>
  <c r="AD32" i="25"/>
  <c r="M33" i="25"/>
  <c r="N33" i="25"/>
  <c r="O33" i="25"/>
  <c r="AD33" i="25" s="1"/>
  <c r="P33" i="25"/>
  <c r="Q33" i="25"/>
  <c r="R33" i="25"/>
  <c r="S33" i="25"/>
  <c r="T33" i="25"/>
  <c r="U33" i="25"/>
  <c r="V33" i="25"/>
  <c r="W33" i="25"/>
  <c r="X33" i="25"/>
  <c r="Y33" i="25"/>
  <c r="Z33" i="25"/>
  <c r="AA33" i="25"/>
  <c r="AB33" i="25"/>
  <c r="AC33" i="25"/>
  <c r="M34" i="25"/>
  <c r="N34" i="25"/>
  <c r="AD34" i="25" s="1"/>
  <c r="O34" i="25"/>
  <c r="P34" i="25"/>
  <c r="Q34" i="25"/>
  <c r="R34" i="25"/>
  <c r="S34" i="25"/>
  <c r="T34" i="25"/>
  <c r="V34" i="25" s="1"/>
  <c r="U34" i="25"/>
  <c r="W34" i="25"/>
  <c r="X34" i="25"/>
  <c r="Y34" i="25"/>
  <c r="Z34" i="25"/>
  <c r="AA34" i="25"/>
  <c r="AB34" i="25"/>
  <c r="AC34" i="25" s="1"/>
  <c r="M35" i="25"/>
  <c r="N35" i="25"/>
  <c r="O35" i="25"/>
  <c r="P35" i="25"/>
  <c r="Q35" i="25"/>
  <c r="R35" i="25"/>
  <c r="S35" i="25"/>
  <c r="T35" i="25"/>
  <c r="U35" i="25"/>
  <c r="V35" i="25"/>
  <c r="AA35" i="25" s="1"/>
  <c r="AB35" i="25" s="1"/>
  <c r="AC35" i="25" s="1"/>
  <c r="W35" i="25"/>
  <c r="X35" i="25"/>
  <c r="Y35" i="25"/>
  <c r="Z35" i="25"/>
  <c r="AD35" i="25"/>
  <c r="M36" i="25"/>
  <c r="N36" i="25"/>
  <c r="O36" i="25"/>
  <c r="P36" i="25"/>
  <c r="Q36" i="25"/>
  <c r="R36" i="25"/>
  <c r="S36" i="25"/>
  <c r="T36" i="25"/>
  <c r="V36" i="25" s="1"/>
  <c r="AA36" i="25" s="1"/>
  <c r="AB36" i="25" s="1"/>
  <c r="AC36" i="25" s="1"/>
  <c r="U36" i="25"/>
  <c r="W36" i="25"/>
  <c r="Y36" i="25"/>
  <c r="AD36" i="25"/>
  <c r="M37" i="25"/>
  <c r="N37" i="25"/>
  <c r="O37" i="25"/>
  <c r="P37" i="25"/>
  <c r="Q37" i="25"/>
  <c r="R37" i="25"/>
  <c r="S37" i="25"/>
  <c r="T37" i="25"/>
  <c r="U37" i="25"/>
  <c r="Y37" i="25" s="1"/>
  <c r="V37" i="25"/>
  <c r="AA37" i="25" s="1"/>
  <c r="AB37" i="25" s="1"/>
  <c r="AC37" i="25" s="1"/>
  <c r="W37" i="25"/>
  <c r="X37" i="25"/>
  <c r="AD37" i="25"/>
  <c r="M38" i="25"/>
  <c r="N38" i="25"/>
  <c r="O38" i="25"/>
  <c r="AD38" i="25" s="1"/>
  <c r="P38" i="25"/>
  <c r="Q38" i="25"/>
  <c r="R38" i="25"/>
  <c r="S38" i="25"/>
  <c r="T38" i="25"/>
  <c r="X38" i="25" s="1"/>
  <c r="U38" i="25"/>
  <c r="Y38" i="25" s="1"/>
  <c r="M39" i="25"/>
  <c r="N39" i="25"/>
  <c r="O39" i="25"/>
  <c r="P39" i="25"/>
  <c r="Q39" i="25"/>
  <c r="R39" i="25"/>
  <c r="S39" i="25"/>
  <c r="T39" i="25"/>
  <c r="X39" i="25" s="1"/>
  <c r="U39" i="25"/>
  <c r="Y39" i="25" s="1"/>
  <c r="M40" i="25"/>
  <c r="N40" i="25"/>
  <c r="AD40" i="25" s="1"/>
  <c r="O40" i="25"/>
  <c r="P40" i="25"/>
  <c r="Q40" i="25"/>
  <c r="R40" i="25"/>
  <c r="S40" i="25"/>
  <c r="W40" i="25" s="1"/>
  <c r="Z40" i="25" s="1"/>
  <c r="T40" i="25"/>
  <c r="U40" i="25"/>
  <c r="V40" i="25"/>
  <c r="X40" i="25"/>
  <c r="Y40" i="25"/>
  <c r="AA40" i="25"/>
  <c r="AB40" i="25"/>
  <c r="AC40" i="25"/>
  <c r="M41" i="25"/>
  <c r="N41" i="25"/>
  <c r="O41" i="25"/>
  <c r="AD41" i="25" s="1"/>
  <c r="P41" i="25"/>
  <c r="Q41" i="25"/>
  <c r="R41" i="25"/>
  <c r="S41" i="25"/>
  <c r="T41" i="25"/>
  <c r="U41" i="25"/>
  <c r="V41" i="25"/>
  <c r="W41" i="25"/>
  <c r="X41" i="25"/>
  <c r="Y41" i="25"/>
  <c r="Z41" i="25"/>
  <c r="AA41" i="25"/>
  <c r="AB41" i="25" s="1"/>
  <c r="AC41" i="25" s="1"/>
  <c r="M42" i="25"/>
  <c r="N42" i="25"/>
  <c r="AD42" i="25" s="1"/>
  <c r="O42" i="25"/>
  <c r="P42" i="25"/>
  <c r="Q42" i="25"/>
  <c r="R42" i="25"/>
  <c r="S42" i="25"/>
  <c r="T42" i="25"/>
  <c r="U42" i="25"/>
  <c r="W42" i="25"/>
  <c r="X42" i="25"/>
  <c r="Y42" i="25"/>
  <c r="Z42" i="25"/>
  <c r="M43" i="25"/>
  <c r="N43" i="25"/>
  <c r="O43" i="25"/>
  <c r="P43" i="25"/>
  <c r="Q43" i="25"/>
  <c r="R43" i="25"/>
  <c r="S43" i="25"/>
  <c r="T43" i="25"/>
  <c r="U43" i="25"/>
  <c r="V43" i="25"/>
  <c r="AA43" i="25" s="1"/>
  <c r="AB43" i="25" s="1"/>
  <c r="AC43" i="25" s="1"/>
  <c r="W43" i="25"/>
  <c r="X43" i="25"/>
  <c r="Y43" i="25"/>
  <c r="AD43" i="25"/>
  <c r="M44" i="25"/>
  <c r="N44" i="25"/>
  <c r="O44" i="25"/>
  <c r="P44" i="25"/>
  <c r="Q44" i="25"/>
  <c r="R44" i="25"/>
  <c r="S44" i="25"/>
  <c r="T44" i="25"/>
  <c r="U44" i="25"/>
  <c r="Y44" i="25" s="1"/>
  <c r="V44" i="25"/>
  <c r="AA44" i="25" s="1"/>
  <c r="AB44" i="25" s="1"/>
  <c r="AC44" i="25" s="1"/>
  <c r="W44" i="25"/>
  <c r="Z44" i="25" s="1"/>
  <c r="X44" i="25"/>
  <c r="AD44" i="25"/>
  <c r="M45" i="25"/>
  <c r="N45" i="25"/>
  <c r="O45" i="25"/>
  <c r="P45" i="25"/>
  <c r="Q45" i="25"/>
  <c r="R45" i="25"/>
  <c r="S45" i="25"/>
  <c r="T45" i="25"/>
  <c r="U45" i="25"/>
  <c r="Y45" i="25" s="1"/>
  <c r="V45" i="25"/>
  <c r="AA45" i="25" s="1"/>
  <c r="AB45" i="25" s="1"/>
  <c r="AC45" i="25" s="1"/>
  <c r="W45" i="25"/>
  <c r="X45" i="25"/>
  <c r="M46" i="25"/>
  <c r="N46" i="25"/>
  <c r="O46" i="25"/>
  <c r="AD46" i="25" s="1"/>
  <c r="P46" i="25"/>
  <c r="Q46" i="25"/>
  <c r="R46" i="25"/>
  <c r="S46" i="25"/>
  <c r="T46" i="25"/>
  <c r="X46" i="25" s="1"/>
  <c r="U46" i="25"/>
  <c r="Y46" i="25" s="1"/>
  <c r="M47" i="25"/>
  <c r="N47" i="25"/>
  <c r="AD47" i="25" s="1"/>
  <c r="O47" i="25"/>
  <c r="P47" i="25"/>
  <c r="Q47" i="25"/>
  <c r="R47" i="25"/>
  <c r="S47" i="25"/>
  <c r="T47" i="25"/>
  <c r="X47" i="25" s="1"/>
  <c r="U47" i="25"/>
  <c r="Y47" i="25" s="1"/>
  <c r="M48" i="25"/>
  <c r="N48" i="25"/>
  <c r="AD48" i="25" s="1"/>
  <c r="O48" i="25"/>
  <c r="P48" i="25"/>
  <c r="Q48" i="25"/>
  <c r="R48" i="25"/>
  <c r="S48" i="25"/>
  <c r="W48" i="25" s="1"/>
  <c r="T48" i="25"/>
  <c r="U48" i="25"/>
  <c r="V48" i="25"/>
  <c r="X48" i="25"/>
  <c r="Y48" i="25"/>
  <c r="AA48" i="25"/>
  <c r="AB48" i="25"/>
  <c r="AC48" i="25"/>
  <c r="M49" i="25"/>
  <c r="N49" i="25"/>
  <c r="O49" i="25"/>
  <c r="AD49" i="25" s="1"/>
  <c r="P49" i="25"/>
  <c r="Q49" i="25"/>
  <c r="R49" i="25"/>
  <c r="S49" i="25"/>
  <c r="T49" i="25"/>
  <c r="U49" i="25"/>
  <c r="V49" i="25"/>
  <c r="W49" i="25"/>
  <c r="X49" i="25"/>
  <c r="Y49" i="25"/>
  <c r="Z49" i="25"/>
  <c r="AA49" i="25"/>
  <c r="AB49" i="25" s="1"/>
  <c r="AC49" i="25" s="1"/>
  <c r="M50" i="25"/>
  <c r="N50" i="25"/>
  <c r="AD50" i="25" s="1"/>
  <c r="O50" i="25"/>
  <c r="P50" i="25"/>
  <c r="Q50" i="25"/>
  <c r="R50" i="25"/>
  <c r="S50" i="25"/>
  <c r="T50" i="25"/>
  <c r="V50" i="25" s="1"/>
  <c r="AA50" i="25" s="1"/>
  <c r="AB50" i="25" s="1"/>
  <c r="AC50" i="25" s="1"/>
  <c r="U50" i="25"/>
  <c r="W50" i="25"/>
  <c r="Y50" i="25"/>
  <c r="M51" i="25"/>
  <c r="N51" i="25"/>
  <c r="O51" i="25"/>
  <c r="P51" i="25"/>
  <c r="Q51" i="25"/>
  <c r="R51" i="25"/>
  <c r="S51" i="25"/>
  <c r="T51" i="25"/>
  <c r="U51" i="25"/>
  <c r="Y51" i="25" s="1"/>
  <c r="V51" i="25"/>
  <c r="AA51" i="25" s="1"/>
  <c r="AB51" i="25" s="1"/>
  <c r="AC51" i="25" s="1"/>
  <c r="W51" i="25"/>
  <c r="Z51" i="25" s="1"/>
  <c r="X51" i="25"/>
  <c r="AD51" i="25"/>
  <c r="M52" i="25"/>
  <c r="N52" i="25"/>
  <c r="O52" i="25"/>
  <c r="P52" i="25"/>
  <c r="Q52" i="25"/>
  <c r="R52" i="25"/>
  <c r="S52" i="25"/>
  <c r="V52" i="25" s="1"/>
  <c r="AA52" i="25" s="1"/>
  <c r="AB52" i="25" s="1"/>
  <c r="AC52" i="25" s="1"/>
  <c r="T52" i="25"/>
  <c r="X52" i="25" s="1"/>
  <c r="U52" i="25"/>
  <c r="Y52" i="25" s="1"/>
  <c r="AD52" i="25"/>
  <c r="M3" i="24"/>
  <c r="N3" i="24"/>
  <c r="O3" i="24"/>
  <c r="R3" i="24" s="1"/>
  <c r="P3" i="24"/>
  <c r="Q3" i="24"/>
  <c r="S3" i="24"/>
  <c r="T3" i="24"/>
  <c r="U3" i="24"/>
  <c r="Y3" i="24" s="1"/>
  <c r="V3" i="24"/>
  <c r="AA3" i="24" s="1"/>
  <c r="AB3" i="24" s="1"/>
  <c r="W3" i="24"/>
  <c r="X3" i="24"/>
  <c r="M4" i="24"/>
  <c r="N4" i="24"/>
  <c r="O4" i="24"/>
  <c r="P4" i="24"/>
  <c r="Q4" i="24"/>
  <c r="R4" i="24"/>
  <c r="S4" i="24"/>
  <c r="V4" i="24" s="1"/>
  <c r="AA4" i="24" s="1"/>
  <c r="AB4" i="24" s="1"/>
  <c r="AC4" i="24" s="1"/>
  <c r="T4" i="24"/>
  <c r="X4" i="24" s="1"/>
  <c r="U4" i="24"/>
  <c r="Y4" i="24" s="1"/>
  <c r="AD4" i="24"/>
  <c r="M5" i="24"/>
  <c r="N5" i="24"/>
  <c r="O5" i="24"/>
  <c r="R5" i="24" s="1"/>
  <c r="P5" i="24"/>
  <c r="Q5" i="24"/>
  <c r="S5" i="24"/>
  <c r="T5" i="24"/>
  <c r="X5" i="24" s="1"/>
  <c r="U5" i="24"/>
  <c r="Y5" i="24" s="1"/>
  <c r="M6" i="24"/>
  <c r="N6" i="24"/>
  <c r="AD6" i="24" s="1"/>
  <c r="O6" i="24"/>
  <c r="P6" i="24"/>
  <c r="Q6" i="24"/>
  <c r="R6" i="24"/>
  <c r="S6" i="24"/>
  <c r="T6" i="24"/>
  <c r="X6" i="24" s="1"/>
  <c r="U6" i="24"/>
  <c r="Y6" i="24"/>
  <c r="M7" i="24"/>
  <c r="N7" i="24"/>
  <c r="O7" i="24"/>
  <c r="R7" i="24" s="1"/>
  <c r="P7" i="24"/>
  <c r="Q7" i="24"/>
  <c r="S7" i="24"/>
  <c r="V7" i="24" s="1"/>
  <c r="AA7" i="24" s="1"/>
  <c r="AB7" i="24" s="1"/>
  <c r="AC7" i="24" s="1"/>
  <c r="T7" i="24"/>
  <c r="U7" i="24"/>
  <c r="W7" i="24"/>
  <c r="Z7" i="24" s="1"/>
  <c r="X7" i="24"/>
  <c r="Y7" i="24"/>
  <c r="AD7" i="24"/>
  <c r="M8" i="24"/>
  <c r="N8" i="24"/>
  <c r="AD8" i="24" s="1"/>
  <c r="O8" i="24"/>
  <c r="R8" i="24" s="1"/>
  <c r="P8" i="24"/>
  <c r="Q8" i="24"/>
  <c r="S8" i="24"/>
  <c r="T8" i="24"/>
  <c r="U8" i="24"/>
  <c r="Y8" i="24" s="1"/>
  <c r="Z8" i="24" s="1"/>
  <c r="V8" i="24"/>
  <c r="AA8" i="24" s="1"/>
  <c r="AB8" i="24" s="1"/>
  <c r="AC8" i="24" s="1"/>
  <c r="W8" i="24"/>
  <c r="X8" i="24"/>
  <c r="M9" i="24"/>
  <c r="AD9" i="24" s="1"/>
  <c r="N9" i="24"/>
  <c r="O9" i="24"/>
  <c r="R9" i="24" s="1"/>
  <c r="P9" i="24"/>
  <c r="Q9" i="24"/>
  <c r="S9" i="24"/>
  <c r="T9" i="24"/>
  <c r="X9" i="24" s="1"/>
  <c r="U9" i="24"/>
  <c r="Y9" i="24"/>
  <c r="M10" i="24"/>
  <c r="N10" i="24"/>
  <c r="O10" i="24"/>
  <c r="P10" i="24"/>
  <c r="Q10" i="24"/>
  <c r="R10" i="24"/>
  <c r="S10" i="24"/>
  <c r="T10" i="24"/>
  <c r="U10" i="24"/>
  <c r="W10" i="24"/>
  <c r="Y10" i="24"/>
  <c r="AD10" i="24"/>
  <c r="M11" i="24"/>
  <c r="N11" i="24"/>
  <c r="O11" i="24"/>
  <c r="AD11" i="24" s="1"/>
  <c r="P11" i="24"/>
  <c r="Q11" i="24"/>
  <c r="S11" i="24"/>
  <c r="T11" i="24"/>
  <c r="X11" i="24" s="1"/>
  <c r="U11" i="24"/>
  <c r="Y11" i="24"/>
  <c r="M12" i="24"/>
  <c r="N12" i="24"/>
  <c r="O12" i="24"/>
  <c r="P12" i="24"/>
  <c r="Q12" i="24"/>
  <c r="R12" i="24"/>
  <c r="S12" i="24"/>
  <c r="V12" i="24" s="1"/>
  <c r="AA12" i="24" s="1"/>
  <c r="AB12" i="24" s="1"/>
  <c r="AC12" i="24" s="1"/>
  <c r="T12" i="24"/>
  <c r="X12" i="24" s="1"/>
  <c r="U12" i="24"/>
  <c r="Y12" i="24" s="1"/>
  <c r="M13" i="24"/>
  <c r="N13" i="24"/>
  <c r="O13" i="24"/>
  <c r="R13" i="24" s="1"/>
  <c r="P13" i="24"/>
  <c r="Q13" i="24"/>
  <c r="S13" i="24"/>
  <c r="T13" i="24"/>
  <c r="X13" i="24" s="1"/>
  <c r="U13" i="24"/>
  <c r="Y13" i="24" s="1"/>
  <c r="AD13" i="24"/>
  <c r="M14" i="24"/>
  <c r="N14" i="24"/>
  <c r="O14" i="24"/>
  <c r="P14" i="24"/>
  <c r="Q14" i="24"/>
  <c r="R14" i="24"/>
  <c r="S14" i="24"/>
  <c r="T14" i="24"/>
  <c r="X14" i="24" s="1"/>
  <c r="U14" i="24"/>
  <c r="Y14" i="24"/>
  <c r="AD14" i="24"/>
  <c r="M15" i="24"/>
  <c r="N15" i="24"/>
  <c r="O15" i="24"/>
  <c r="R15" i="24" s="1"/>
  <c r="P15" i="24"/>
  <c r="Q15" i="24"/>
  <c r="S15" i="24"/>
  <c r="T15" i="24"/>
  <c r="V15" i="24" s="1"/>
  <c r="U15" i="24"/>
  <c r="W15" i="24"/>
  <c r="X15" i="24"/>
  <c r="Y15" i="24"/>
  <c r="AA15" i="24"/>
  <c r="AB15" i="24" s="1"/>
  <c r="AC15" i="24"/>
  <c r="AD15" i="24"/>
  <c r="M16" i="24"/>
  <c r="AD16" i="24" s="1"/>
  <c r="N16" i="24"/>
  <c r="O16" i="24"/>
  <c r="R16" i="24" s="1"/>
  <c r="P16" i="24"/>
  <c r="Q16" i="24"/>
  <c r="S16" i="24"/>
  <c r="T16" i="24"/>
  <c r="U16" i="24"/>
  <c r="V16" i="24"/>
  <c r="AA16" i="24" s="1"/>
  <c r="AB16" i="24" s="1"/>
  <c r="AC16" i="24" s="1"/>
  <c r="W16" i="24"/>
  <c r="X16" i="24"/>
  <c r="Z16" i="24" s="1"/>
  <c r="Y16" i="24"/>
  <c r="M17" i="24"/>
  <c r="AD17" i="24" s="1"/>
  <c r="N17" i="24"/>
  <c r="O17" i="24"/>
  <c r="P17" i="24"/>
  <c r="Q17" i="24"/>
  <c r="R17" i="24"/>
  <c r="S17" i="24"/>
  <c r="T17" i="24"/>
  <c r="X17" i="24" s="1"/>
  <c r="U17" i="24"/>
  <c r="V17" i="24"/>
  <c r="AA17" i="24" s="1"/>
  <c r="AB17" i="24" s="1"/>
  <c r="AC17" i="24" s="1"/>
  <c r="W17" i="24"/>
  <c r="Y17" i="24"/>
  <c r="Z17" i="24"/>
  <c r="M18" i="24"/>
  <c r="N18" i="24"/>
  <c r="O18" i="24"/>
  <c r="P18" i="24"/>
  <c r="Q18" i="24"/>
  <c r="R18" i="24"/>
  <c r="S18" i="24"/>
  <c r="T18" i="24"/>
  <c r="U18" i="24"/>
  <c r="Y18" i="24" s="1"/>
  <c r="W18" i="24"/>
  <c r="AD18" i="24"/>
  <c r="M19" i="24"/>
  <c r="N19" i="24"/>
  <c r="O19" i="24"/>
  <c r="AD19" i="24" s="1"/>
  <c r="P19" i="24"/>
  <c r="Q19" i="24"/>
  <c r="R19" i="24"/>
  <c r="S19" i="24"/>
  <c r="T19" i="24"/>
  <c r="X19" i="24" s="1"/>
  <c r="U19" i="24"/>
  <c r="Y19" i="24"/>
  <c r="M20" i="24"/>
  <c r="N20" i="24"/>
  <c r="O20" i="24"/>
  <c r="P20" i="24"/>
  <c r="Q20" i="24"/>
  <c r="R20" i="24"/>
  <c r="S20" i="24"/>
  <c r="T20" i="24"/>
  <c r="X20" i="24" s="1"/>
  <c r="U20" i="24"/>
  <c r="Y20" i="24" s="1"/>
  <c r="V20" i="24"/>
  <c r="AA20" i="24" s="1"/>
  <c r="AB20" i="24" s="1"/>
  <c r="W20" i="24"/>
  <c r="Z20" i="24" s="1"/>
  <c r="AC20" i="24"/>
  <c r="M21" i="24"/>
  <c r="N21" i="24"/>
  <c r="AD21" i="24" s="1"/>
  <c r="O21" i="24"/>
  <c r="P21" i="24"/>
  <c r="Q21" i="24"/>
  <c r="R21" i="24"/>
  <c r="S21" i="24"/>
  <c r="T21" i="24"/>
  <c r="X21" i="24" s="1"/>
  <c r="U21" i="24"/>
  <c r="Y21" i="24" s="1"/>
  <c r="M22" i="24"/>
  <c r="N22" i="24"/>
  <c r="O22" i="24"/>
  <c r="R22" i="24" s="1"/>
  <c r="P22" i="24"/>
  <c r="Q22" i="24"/>
  <c r="S22" i="24"/>
  <c r="T22" i="24"/>
  <c r="U22" i="24"/>
  <c r="X22" i="24"/>
  <c r="Y22" i="24"/>
  <c r="M23" i="24"/>
  <c r="N23" i="24"/>
  <c r="AD23" i="24" s="1"/>
  <c r="O23" i="24"/>
  <c r="R23" i="24" s="1"/>
  <c r="P23" i="24"/>
  <c r="Q23" i="24"/>
  <c r="S23" i="24"/>
  <c r="T23" i="24"/>
  <c r="U23" i="24"/>
  <c r="V23" i="24"/>
  <c r="W23" i="24"/>
  <c r="Z23" i="24" s="1"/>
  <c r="X23" i="24"/>
  <c r="Y23" i="24"/>
  <c r="AA23" i="24"/>
  <c r="AB23" i="24" s="1"/>
  <c r="AC23" i="24" s="1"/>
  <c r="M24" i="24"/>
  <c r="N24" i="24"/>
  <c r="O24" i="24"/>
  <c r="R24" i="24" s="1"/>
  <c r="P24" i="24"/>
  <c r="Q24" i="24"/>
  <c r="S24" i="24"/>
  <c r="T24" i="24"/>
  <c r="U24" i="24"/>
  <c r="V24" i="24"/>
  <c r="AA24" i="24" s="1"/>
  <c r="AB24" i="24" s="1"/>
  <c r="AC24" i="24" s="1"/>
  <c r="W24" i="24"/>
  <c r="X24" i="24"/>
  <c r="Y24" i="24"/>
  <c r="M25" i="24"/>
  <c r="AD25" i="24" s="1"/>
  <c r="N25" i="24"/>
  <c r="O25" i="24"/>
  <c r="P25" i="24"/>
  <c r="Q25" i="24"/>
  <c r="R25" i="24"/>
  <c r="S25" i="24"/>
  <c r="V25" i="24" s="1"/>
  <c r="AA25" i="24" s="1"/>
  <c r="AB25" i="24" s="1"/>
  <c r="AC25" i="24" s="1"/>
  <c r="T25" i="24"/>
  <c r="X25" i="24" s="1"/>
  <c r="U25" i="24"/>
  <c r="Y25" i="24"/>
  <c r="M26" i="24"/>
  <c r="N26" i="24"/>
  <c r="O26" i="24"/>
  <c r="P26" i="24"/>
  <c r="Q26" i="24"/>
  <c r="R26" i="24"/>
  <c r="S26" i="24"/>
  <c r="T26" i="24"/>
  <c r="X26" i="24" s="1"/>
  <c r="U26" i="24"/>
  <c r="Y26" i="24" s="1"/>
  <c r="V26" i="24"/>
  <c r="AA26" i="24" s="1"/>
  <c r="AB26" i="24" s="1"/>
  <c r="AC26" i="24" s="1"/>
  <c r="W26" i="24"/>
  <c r="AD26" i="24"/>
  <c r="M27" i="24"/>
  <c r="N27" i="24"/>
  <c r="O27" i="24"/>
  <c r="AD27" i="24" s="1"/>
  <c r="P27" i="24"/>
  <c r="Q27" i="24"/>
  <c r="R27" i="24"/>
  <c r="S27" i="24"/>
  <c r="W27" i="24" s="1"/>
  <c r="T27" i="24"/>
  <c r="X27" i="24" s="1"/>
  <c r="U27" i="24"/>
  <c r="Y27" i="24" s="1"/>
  <c r="M28" i="24"/>
  <c r="N28" i="24"/>
  <c r="O28" i="24"/>
  <c r="P28" i="24"/>
  <c r="Q28" i="24"/>
  <c r="R28" i="24"/>
  <c r="S28" i="24"/>
  <c r="T28" i="24"/>
  <c r="X28" i="24" s="1"/>
  <c r="U28" i="24"/>
  <c r="Y28" i="24" s="1"/>
  <c r="W28" i="24"/>
  <c r="Z28" i="24" s="1"/>
  <c r="AD28" i="24"/>
  <c r="M29" i="24"/>
  <c r="N29" i="24"/>
  <c r="O29" i="24"/>
  <c r="P29" i="24"/>
  <c r="Q29" i="24"/>
  <c r="R29" i="24"/>
  <c r="S29" i="24"/>
  <c r="T29" i="24"/>
  <c r="X29" i="24" s="1"/>
  <c r="U29" i="24"/>
  <c r="Y29" i="24" s="1"/>
  <c r="AD29" i="24"/>
  <c r="M30" i="24"/>
  <c r="N30" i="24"/>
  <c r="O30" i="24"/>
  <c r="R30" i="24" s="1"/>
  <c r="P30" i="24"/>
  <c r="Q30" i="24"/>
  <c r="S30" i="24"/>
  <c r="T30" i="24"/>
  <c r="U30" i="24"/>
  <c r="X30" i="24"/>
  <c r="Y30" i="24"/>
  <c r="M31" i="24"/>
  <c r="AD31" i="24" s="1"/>
  <c r="N31" i="24"/>
  <c r="O31" i="24"/>
  <c r="R31" i="24" s="1"/>
  <c r="P31" i="24"/>
  <c r="Q31" i="24"/>
  <c r="S31" i="24"/>
  <c r="T31" i="24"/>
  <c r="U31" i="24"/>
  <c r="V31" i="24"/>
  <c r="W31" i="24"/>
  <c r="X31" i="24"/>
  <c r="Y31" i="24"/>
  <c r="AA31" i="24"/>
  <c r="AB31" i="24" s="1"/>
  <c r="AC31" i="24"/>
  <c r="M32" i="24"/>
  <c r="AD32" i="24" s="1"/>
  <c r="N32" i="24"/>
  <c r="O32" i="24"/>
  <c r="R32" i="24" s="1"/>
  <c r="P32" i="24"/>
  <c r="Q32" i="24"/>
  <c r="S32" i="24"/>
  <c r="T32" i="24"/>
  <c r="U32" i="24"/>
  <c r="V32" i="24"/>
  <c r="AA32" i="24" s="1"/>
  <c r="AB32" i="24" s="1"/>
  <c r="AC32" i="24" s="1"/>
  <c r="W32" i="24"/>
  <c r="X32" i="24"/>
  <c r="Z32" i="24" s="1"/>
  <c r="Y32" i="24"/>
  <c r="M33" i="24"/>
  <c r="AD33" i="24" s="1"/>
  <c r="N33" i="24"/>
  <c r="O33" i="24"/>
  <c r="P33" i="24"/>
  <c r="Q33" i="24"/>
  <c r="R33" i="24"/>
  <c r="S33" i="24"/>
  <c r="T33" i="24"/>
  <c r="U33" i="24"/>
  <c r="V33" i="24"/>
  <c r="AA33" i="24" s="1"/>
  <c r="AB33" i="24" s="1"/>
  <c r="AC33" i="24" s="1"/>
  <c r="W33" i="24"/>
  <c r="X33" i="24"/>
  <c r="Y33" i="24"/>
  <c r="Z33" i="24"/>
  <c r="M34" i="24"/>
  <c r="N34" i="24"/>
  <c r="O34" i="24"/>
  <c r="P34" i="24"/>
  <c r="Q34" i="24"/>
  <c r="R34" i="24"/>
  <c r="S34" i="24"/>
  <c r="T34" i="24"/>
  <c r="U34" i="24"/>
  <c r="W34" i="24"/>
  <c r="Y34" i="24"/>
  <c r="AD34" i="24"/>
  <c r="M35" i="24"/>
  <c r="N35" i="24"/>
  <c r="O35" i="24"/>
  <c r="AD35" i="24" s="1"/>
  <c r="P35" i="24"/>
  <c r="Q35" i="24"/>
  <c r="R35" i="24"/>
  <c r="S35" i="24"/>
  <c r="T35" i="24"/>
  <c r="X35" i="24" s="1"/>
  <c r="U35" i="24"/>
  <c r="W35" i="24"/>
  <c r="Y35" i="24"/>
  <c r="M36" i="24"/>
  <c r="N36" i="24"/>
  <c r="O36" i="24"/>
  <c r="P36" i="24"/>
  <c r="Q36" i="24"/>
  <c r="R36" i="24"/>
  <c r="S36" i="24"/>
  <c r="T36" i="24"/>
  <c r="X36" i="24" s="1"/>
  <c r="U36" i="24"/>
  <c r="Y36" i="24" s="1"/>
  <c r="V36" i="24"/>
  <c r="AA36" i="24" s="1"/>
  <c r="AB36" i="24" s="1"/>
  <c r="W36" i="24"/>
  <c r="Z36" i="24" s="1"/>
  <c r="AC36" i="24"/>
  <c r="M37" i="24"/>
  <c r="N37" i="24"/>
  <c r="O37" i="24"/>
  <c r="P37" i="24"/>
  <c r="Q37" i="24"/>
  <c r="R37" i="24"/>
  <c r="S37" i="24"/>
  <c r="T37" i="24"/>
  <c r="X37" i="24" s="1"/>
  <c r="U37" i="24"/>
  <c r="Y37" i="24" s="1"/>
  <c r="M38" i="24"/>
  <c r="N38" i="24"/>
  <c r="O38" i="24"/>
  <c r="R38" i="24" s="1"/>
  <c r="P38" i="24"/>
  <c r="Q38" i="24"/>
  <c r="S38" i="24"/>
  <c r="T38" i="24"/>
  <c r="X38" i="24" s="1"/>
  <c r="U38" i="24"/>
  <c r="Y38" i="24" s="1"/>
  <c r="AD38" i="24"/>
  <c r="M39" i="24"/>
  <c r="N39" i="24"/>
  <c r="O39" i="24"/>
  <c r="P39" i="24"/>
  <c r="Q39" i="24"/>
  <c r="R39" i="24"/>
  <c r="S39" i="24"/>
  <c r="V39" i="24" s="1"/>
  <c r="T39" i="24"/>
  <c r="U39" i="24"/>
  <c r="X39" i="24"/>
  <c r="Y39" i="24"/>
  <c r="AA39" i="24"/>
  <c r="AB39" i="24" s="1"/>
  <c r="AD39" i="24"/>
  <c r="M40" i="24"/>
  <c r="AD40" i="24" s="1"/>
  <c r="N40" i="24"/>
  <c r="O40" i="24"/>
  <c r="R40" i="24" s="1"/>
  <c r="P40" i="24"/>
  <c r="Q40" i="24"/>
  <c r="S40" i="24"/>
  <c r="T40" i="24"/>
  <c r="V40" i="24" s="1"/>
  <c r="U40" i="24"/>
  <c r="W40" i="24"/>
  <c r="Z40" i="24" s="1"/>
  <c r="X40" i="24"/>
  <c r="Y40" i="24"/>
  <c r="AA40" i="24"/>
  <c r="AB40" i="24"/>
  <c r="AC40" i="24"/>
  <c r="M41" i="24"/>
  <c r="AD41" i="24" s="1"/>
  <c r="N41" i="24"/>
  <c r="O41" i="24"/>
  <c r="R41" i="24" s="1"/>
  <c r="P41" i="24"/>
  <c r="Q41" i="24"/>
  <c r="S41" i="24"/>
  <c r="T41" i="24"/>
  <c r="U41" i="24"/>
  <c r="Y41" i="24" s="1"/>
  <c r="V41" i="24"/>
  <c r="W41" i="24"/>
  <c r="X41" i="24"/>
  <c r="Z41" i="24"/>
  <c r="AA41" i="24"/>
  <c r="AB41" i="24"/>
  <c r="AC41" i="24"/>
  <c r="M42" i="24"/>
  <c r="AD42" i="24" s="1"/>
  <c r="N42" i="24"/>
  <c r="O42" i="24"/>
  <c r="P42" i="24"/>
  <c r="Q42" i="24"/>
  <c r="R42" i="24"/>
  <c r="S42" i="24"/>
  <c r="T42" i="24"/>
  <c r="U42" i="24"/>
  <c r="X42" i="24"/>
  <c r="Y42" i="24"/>
  <c r="M43" i="24"/>
  <c r="N43" i="24"/>
  <c r="AD43" i="24" s="1"/>
  <c r="O43" i="24"/>
  <c r="P43" i="24"/>
  <c r="Q43" i="24"/>
  <c r="R43" i="24"/>
  <c r="S43" i="24"/>
  <c r="T43" i="24"/>
  <c r="U43" i="24"/>
  <c r="V43" i="24" s="1"/>
  <c r="W43" i="24"/>
  <c r="X43" i="24"/>
  <c r="Y43" i="24"/>
  <c r="Z43" i="24"/>
  <c r="AA43" i="24"/>
  <c r="AB43" i="24" s="1"/>
  <c r="M44" i="24"/>
  <c r="AD44" i="24" s="1"/>
  <c r="N44" i="24"/>
  <c r="O44" i="24"/>
  <c r="R44" i="24" s="1"/>
  <c r="P44" i="24"/>
  <c r="Q44" i="24"/>
  <c r="S44" i="24"/>
  <c r="T44" i="24"/>
  <c r="X44" i="24" s="1"/>
  <c r="U44" i="24"/>
  <c r="Y44" i="24" s="1"/>
  <c r="W44" i="24"/>
  <c r="M45" i="24"/>
  <c r="N45" i="24"/>
  <c r="O45" i="24"/>
  <c r="R45" i="24" s="1"/>
  <c r="P45" i="24"/>
  <c r="Q45" i="24"/>
  <c r="S45" i="24"/>
  <c r="T45" i="24"/>
  <c r="U45" i="24"/>
  <c r="Y45" i="24" s="1"/>
  <c r="V45" i="24"/>
  <c r="AA45" i="24" s="1"/>
  <c r="AB45" i="24" s="1"/>
  <c r="AC45" i="24" s="1"/>
  <c r="W45" i="24"/>
  <c r="Z45" i="24" s="1"/>
  <c r="X45" i="24"/>
  <c r="M46" i="24"/>
  <c r="N46" i="24"/>
  <c r="O46" i="24"/>
  <c r="P46" i="24"/>
  <c r="Q46" i="24"/>
  <c r="R46" i="24"/>
  <c r="S46" i="24"/>
  <c r="T46" i="24"/>
  <c r="X46" i="24" s="1"/>
  <c r="U46" i="24"/>
  <c r="Y46" i="24" s="1"/>
  <c r="M47" i="24"/>
  <c r="N47" i="24"/>
  <c r="O47" i="24"/>
  <c r="P47" i="24"/>
  <c r="Q47" i="24"/>
  <c r="R47" i="24"/>
  <c r="S47" i="24"/>
  <c r="T47" i="24"/>
  <c r="X47" i="24" s="1"/>
  <c r="U47" i="24"/>
  <c r="Y47" i="24" s="1"/>
  <c r="M48" i="24"/>
  <c r="N48" i="24"/>
  <c r="AD48" i="24" s="1"/>
  <c r="O48" i="24"/>
  <c r="R48" i="24" s="1"/>
  <c r="P48" i="24"/>
  <c r="Q48" i="24"/>
  <c r="S48" i="24"/>
  <c r="V48" i="24" s="1"/>
  <c r="T48" i="24"/>
  <c r="U48" i="24"/>
  <c r="W48" i="24"/>
  <c r="X48" i="24"/>
  <c r="Y48" i="24"/>
  <c r="AA48" i="24"/>
  <c r="AB48" i="24"/>
  <c r="AC48" i="24" s="1"/>
  <c r="M49" i="24"/>
  <c r="N49" i="24"/>
  <c r="AD49" i="24" s="1"/>
  <c r="O49" i="24"/>
  <c r="R49" i="24" s="1"/>
  <c r="P49" i="24"/>
  <c r="Q49" i="24"/>
  <c r="S49" i="24"/>
  <c r="T49" i="24"/>
  <c r="X49" i="24" s="1"/>
  <c r="U49" i="24"/>
  <c r="V49" i="24"/>
  <c r="W49" i="24"/>
  <c r="Y49" i="24"/>
  <c r="Z49" i="24" s="1"/>
  <c r="AA49" i="24"/>
  <c r="AB49" i="24"/>
  <c r="AC49" i="24" s="1"/>
  <c r="M50" i="24"/>
  <c r="N50" i="24"/>
  <c r="AD50" i="24" s="1"/>
  <c r="O50" i="24"/>
  <c r="R50" i="24" s="1"/>
  <c r="P50" i="24"/>
  <c r="Q50" i="24"/>
  <c r="S50" i="24"/>
  <c r="T50" i="24"/>
  <c r="U50" i="24"/>
  <c r="W50" i="24"/>
  <c r="Z50" i="24" s="1"/>
  <c r="X50" i="24"/>
  <c r="Y50" i="24"/>
  <c r="M51" i="24"/>
  <c r="AD51" i="24" s="1"/>
  <c r="N51" i="24"/>
  <c r="O51" i="24"/>
  <c r="P51" i="24"/>
  <c r="Q51" i="24"/>
  <c r="R51" i="24"/>
  <c r="S51" i="24"/>
  <c r="T51" i="24"/>
  <c r="U51" i="24"/>
  <c r="V51" i="24"/>
  <c r="AA51" i="24" s="1"/>
  <c r="AB51" i="24" s="1"/>
  <c r="AC51" i="24" s="1"/>
  <c r="W51" i="24"/>
  <c r="Z51" i="24" s="1"/>
  <c r="X51" i="24"/>
  <c r="Y51" i="24"/>
  <c r="M52" i="24"/>
  <c r="AD52" i="24" s="1"/>
  <c r="N52" i="24"/>
  <c r="O52" i="24"/>
  <c r="R52" i="24" s="1"/>
  <c r="P52" i="24"/>
  <c r="Q52" i="24"/>
  <c r="S52" i="24"/>
  <c r="T52" i="24"/>
  <c r="U52" i="24"/>
  <c r="V52" i="24"/>
  <c r="AA52" i="24" s="1"/>
  <c r="AB52" i="24" s="1"/>
  <c r="AC52" i="24" s="1"/>
  <c r="W52" i="24"/>
  <c r="X52" i="24"/>
  <c r="Y52" i="24"/>
  <c r="Z52" i="24"/>
  <c r="J3" i="23"/>
  <c r="K3" i="23"/>
  <c r="Z3" i="23" s="1"/>
  <c r="L3" i="23"/>
  <c r="N3" i="23"/>
  <c r="O3" i="23"/>
  <c r="Q3" i="23"/>
  <c r="R3" i="23"/>
  <c r="V3" i="23" s="1"/>
  <c r="W3" i="23" s="1"/>
  <c r="S3" i="23"/>
  <c r="X3" i="23" s="1"/>
  <c r="Y3" i="23" s="1"/>
  <c r="T3" i="23"/>
  <c r="U3" i="23"/>
  <c r="J4" i="23"/>
  <c r="K4" i="23"/>
  <c r="Z4" i="23" s="1"/>
  <c r="L4" i="23"/>
  <c r="N4" i="23"/>
  <c r="O4" i="23"/>
  <c r="Q4" i="23"/>
  <c r="S4" i="23" s="1"/>
  <c r="X4" i="23" s="1"/>
  <c r="Y4" i="23" s="1"/>
  <c r="R4" i="23"/>
  <c r="T4" i="23"/>
  <c r="U4" i="23"/>
  <c r="V4" i="23"/>
  <c r="W4" i="23"/>
  <c r="J5" i="23"/>
  <c r="K5" i="23"/>
  <c r="L5" i="23"/>
  <c r="N5" i="23"/>
  <c r="O5" i="23"/>
  <c r="T5" i="23" s="1"/>
  <c r="Q5" i="23"/>
  <c r="R5" i="23"/>
  <c r="V5" i="23" s="1"/>
  <c r="S5" i="23"/>
  <c r="X5" i="23" s="1"/>
  <c r="U5" i="23"/>
  <c r="Y5" i="23"/>
  <c r="Z5" i="23"/>
  <c r="J6" i="23"/>
  <c r="K6" i="23"/>
  <c r="L6" i="23"/>
  <c r="N6" i="23"/>
  <c r="O6" i="23"/>
  <c r="Q6" i="23"/>
  <c r="U6" i="23" s="1"/>
  <c r="R6" i="23"/>
  <c r="S6" i="23"/>
  <c r="X6" i="23" s="1"/>
  <c r="Y6" i="23" s="1"/>
  <c r="T6" i="23"/>
  <c r="W6" i="23" s="1"/>
  <c r="V6" i="23"/>
  <c r="Z6" i="23"/>
  <c r="J7" i="23"/>
  <c r="K7" i="23"/>
  <c r="L7" i="23"/>
  <c r="N7" i="23"/>
  <c r="O7" i="23"/>
  <c r="Q7" i="23"/>
  <c r="R7" i="23"/>
  <c r="T7" i="23"/>
  <c r="W7" i="23" s="1"/>
  <c r="U7" i="23"/>
  <c r="V7" i="23"/>
  <c r="Z7" i="23"/>
  <c r="J8" i="23"/>
  <c r="Z8" i="23" s="1"/>
  <c r="K8" i="23"/>
  <c r="L8" i="23"/>
  <c r="N8" i="23"/>
  <c r="O8" i="23"/>
  <c r="Q8" i="23"/>
  <c r="R8" i="23"/>
  <c r="S8" i="23"/>
  <c r="X8" i="23" s="1"/>
  <c r="Y8" i="23" s="1"/>
  <c r="T8" i="23"/>
  <c r="U8" i="23"/>
  <c r="W8" i="23" s="1"/>
  <c r="V8" i="23"/>
  <c r="J9" i="23"/>
  <c r="Z9" i="23" s="1"/>
  <c r="K9" i="23"/>
  <c r="L9" i="23"/>
  <c r="N9" i="23"/>
  <c r="O9" i="23"/>
  <c r="Q9" i="23"/>
  <c r="R9" i="23"/>
  <c r="S9" i="23"/>
  <c r="T9" i="23"/>
  <c r="U9" i="23"/>
  <c r="V9" i="23"/>
  <c r="W9" i="23"/>
  <c r="X9" i="23"/>
  <c r="Y9" i="23" s="1"/>
  <c r="J10" i="23"/>
  <c r="K10" i="23"/>
  <c r="L10" i="23"/>
  <c r="N10" i="23"/>
  <c r="O10" i="23"/>
  <c r="Q10" i="23"/>
  <c r="S10" i="23" s="1"/>
  <c r="R10" i="23"/>
  <c r="T10" i="23"/>
  <c r="U10" i="23"/>
  <c r="W10" i="23" s="1"/>
  <c r="V10" i="23"/>
  <c r="X10" i="23"/>
  <c r="Y10" i="23"/>
  <c r="Z10" i="23"/>
  <c r="J11" i="23"/>
  <c r="K11" i="23"/>
  <c r="L11" i="23"/>
  <c r="N11" i="23"/>
  <c r="O11" i="23"/>
  <c r="S11" i="23" s="1"/>
  <c r="X11" i="23" s="1"/>
  <c r="Q11" i="23"/>
  <c r="R11" i="23"/>
  <c r="U11" i="23"/>
  <c r="V11" i="23"/>
  <c r="Y11" i="23"/>
  <c r="Z11" i="23"/>
  <c r="J12" i="23"/>
  <c r="Z12" i="23" s="1"/>
  <c r="K12" i="23"/>
  <c r="L12" i="23"/>
  <c r="N12" i="23"/>
  <c r="O12" i="23"/>
  <c r="Q12" i="23"/>
  <c r="U12" i="23" s="1"/>
  <c r="R12" i="23"/>
  <c r="V12" i="23"/>
  <c r="J13" i="23"/>
  <c r="Z13" i="23" s="1"/>
  <c r="K13" i="23"/>
  <c r="L13" i="23"/>
  <c r="N13" i="23"/>
  <c r="O13" i="23"/>
  <c r="Q13" i="23"/>
  <c r="U13" i="23" s="1"/>
  <c r="R13" i="23"/>
  <c r="V13" i="23" s="1"/>
  <c r="J14" i="23"/>
  <c r="K14" i="23"/>
  <c r="L14" i="23"/>
  <c r="N14" i="23"/>
  <c r="O14" i="23"/>
  <c r="Q14" i="23"/>
  <c r="U14" i="23" s="1"/>
  <c r="R14" i="23"/>
  <c r="V14" i="23" s="1"/>
  <c r="J15" i="23"/>
  <c r="K15" i="23"/>
  <c r="L15" i="23"/>
  <c r="N15" i="23"/>
  <c r="O15" i="23"/>
  <c r="Q15" i="23"/>
  <c r="U15" i="23" s="1"/>
  <c r="R15" i="23"/>
  <c r="V15" i="23" s="1"/>
  <c r="J16" i="23"/>
  <c r="K16" i="23"/>
  <c r="L16" i="23"/>
  <c r="N16" i="23"/>
  <c r="O16" i="23"/>
  <c r="S16" i="23" s="1"/>
  <c r="X16" i="23" s="1"/>
  <c r="Y16" i="23" s="1"/>
  <c r="Q16" i="23"/>
  <c r="U16" i="23" s="1"/>
  <c r="R16" i="23"/>
  <c r="V16" i="23" s="1"/>
  <c r="Z16" i="23"/>
  <c r="J17" i="23"/>
  <c r="Z17" i="23" s="1"/>
  <c r="K17" i="23"/>
  <c r="L17" i="23"/>
  <c r="N17" i="23"/>
  <c r="O17" i="23"/>
  <c r="Q17" i="23"/>
  <c r="R17" i="23"/>
  <c r="V17" i="23" s="1"/>
  <c r="S17" i="23"/>
  <c r="X17" i="23" s="1"/>
  <c r="Y17" i="23" s="1"/>
  <c r="T17" i="23"/>
  <c r="W17" i="23" s="1"/>
  <c r="U17" i="23"/>
  <c r="J18" i="23"/>
  <c r="Z18" i="23" s="1"/>
  <c r="K18" i="23"/>
  <c r="L18" i="23"/>
  <c r="N18" i="23"/>
  <c r="O18" i="23"/>
  <c r="T18" i="23" s="1"/>
  <c r="W18" i="23" s="1"/>
  <c r="Q18" i="23"/>
  <c r="U18" i="23" s="1"/>
  <c r="R18" i="23"/>
  <c r="V18" i="23" s="1"/>
  <c r="S18" i="23"/>
  <c r="X18" i="23" s="1"/>
  <c r="Y18" i="23" s="1"/>
  <c r="J19" i="23"/>
  <c r="K19" i="23"/>
  <c r="Z19" i="23" s="1"/>
  <c r="L19" i="23"/>
  <c r="N19" i="23"/>
  <c r="O19" i="23"/>
  <c r="Q19" i="23"/>
  <c r="R19" i="23"/>
  <c r="S19" i="23"/>
  <c r="X19" i="23" s="1"/>
  <c r="Y19" i="23" s="1"/>
  <c r="T19" i="23"/>
  <c r="W19" i="23" s="1"/>
  <c r="U19" i="23"/>
  <c r="V19" i="23"/>
  <c r="J20" i="23"/>
  <c r="K20" i="23"/>
  <c r="Z20" i="23" s="1"/>
  <c r="L20" i="23"/>
  <c r="N20" i="23"/>
  <c r="O20" i="23"/>
  <c r="Q20" i="23"/>
  <c r="S20" i="23" s="1"/>
  <c r="X20" i="23" s="1"/>
  <c r="Y20" i="23" s="1"/>
  <c r="R20" i="23"/>
  <c r="V20" i="23" s="1"/>
  <c r="T20" i="23"/>
  <c r="J21" i="23"/>
  <c r="K21" i="23"/>
  <c r="L21" i="23"/>
  <c r="N21" i="23"/>
  <c r="O21" i="23"/>
  <c r="S21" i="23" s="1"/>
  <c r="Q21" i="23"/>
  <c r="R21" i="23"/>
  <c r="T21" i="23"/>
  <c r="U21" i="23"/>
  <c r="V21" i="23"/>
  <c r="X21" i="23"/>
  <c r="Y21" i="23" s="1"/>
  <c r="Z21" i="23"/>
  <c r="J22" i="23"/>
  <c r="K22" i="23"/>
  <c r="L22" i="23"/>
  <c r="N22" i="23"/>
  <c r="O22" i="23"/>
  <c r="Q22" i="23"/>
  <c r="R22" i="23"/>
  <c r="U22" i="23"/>
  <c r="V22" i="23"/>
  <c r="Z22" i="23"/>
  <c r="J23" i="23"/>
  <c r="K23" i="23"/>
  <c r="L23" i="23"/>
  <c r="N23" i="23"/>
  <c r="O23" i="23"/>
  <c r="Q23" i="23"/>
  <c r="R23" i="23"/>
  <c r="V23" i="23" s="1"/>
  <c r="T23" i="23"/>
  <c r="Z23" i="23"/>
  <c r="J24" i="23"/>
  <c r="K24" i="23"/>
  <c r="L24" i="23"/>
  <c r="N24" i="23"/>
  <c r="O24" i="23"/>
  <c r="Q24" i="23"/>
  <c r="R24" i="23"/>
  <c r="V24" i="23" s="1"/>
  <c r="W24" i="23" s="1"/>
  <c r="T24" i="23"/>
  <c r="U24" i="23"/>
  <c r="Z24" i="23"/>
  <c r="J25" i="23"/>
  <c r="K25" i="23"/>
  <c r="Z25" i="23" s="1"/>
  <c r="L25" i="23"/>
  <c r="N25" i="23"/>
  <c r="O25" i="23"/>
  <c r="Q25" i="23"/>
  <c r="R25" i="23"/>
  <c r="S25" i="23"/>
  <c r="X25" i="23" s="1"/>
  <c r="Y25" i="23" s="1"/>
  <c r="T25" i="23"/>
  <c r="W25" i="23" s="1"/>
  <c r="U25" i="23"/>
  <c r="V25" i="23"/>
  <c r="J26" i="23"/>
  <c r="Z26" i="23" s="1"/>
  <c r="K26" i="23"/>
  <c r="L26" i="23"/>
  <c r="N26" i="23"/>
  <c r="O26" i="23"/>
  <c r="S26" i="23" s="1"/>
  <c r="X26" i="23" s="1"/>
  <c r="Y26" i="23" s="1"/>
  <c r="Q26" i="23"/>
  <c r="R26" i="23"/>
  <c r="T26" i="23"/>
  <c r="U26" i="23"/>
  <c r="V26" i="23"/>
  <c r="J27" i="23"/>
  <c r="Z27" i="23" s="1"/>
  <c r="K27" i="23"/>
  <c r="L27" i="23"/>
  <c r="N27" i="23"/>
  <c r="O27" i="23"/>
  <c r="S27" i="23" s="1"/>
  <c r="Q27" i="23"/>
  <c r="R27" i="23"/>
  <c r="U27" i="23"/>
  <c r="V27" i="23"/>
  <c r="X27" i="23"/>
  <c r="Y27" i="23" s="1"/>
  <c r="J28" i="23"/>
  <c r="K28" i="23"/>
  <c r="L28" i="23"/>
  <c r="N28" i="23"/>
  <c r="O28" i="23"/>
  <c r="Q28" i="23"/>
  <c r="U28" i="23" s="1"/>
  <c r="R28" i="23"/>
  <c r="V28" i="23"/>
  <c r="Z28" i="23"/>
  <c r="J29" i="23"/>
  <c r="K29" i="23"/>
  <c r="Z29" i="23" s="1"/>
  <c r="L29" i="23"/>
  <c r="N29" i="23"/>
  <c r="O29" i="23"/>
  <c r="Q29" i="23"/>
  <c r="U29" i="23" s="1"/>
  <c r="R29" i="23"/>
  <c r="V29" i="23" s="1"/>
  <c r="J30" i="23"/>
  <c r="K30" i="23"/>
  <c r="L30" i="23"/>
  <c r="N30" i="23"/>
  <c r="O30" i="23"/>
  <c r="Q30" i="23"/>
  <c r="U30" i="23" s="1"/>
  <c r="R30" i="23"/>
  <c r="V30" i="23" s="1"/>
  <c r="J31" i="23"/>
  <c r="K31" i="23"/>
  <c r="L31" i="23"/>
  <c r="N31" i="23"/>
  <c r="O31" i="23"/>
  <c r="T31" i="23" s="1"/>
  <c r="Q31" i="23"/>
  <c r="U31" i="23" s="1"/>
  <c r="R31" i="23"/>
  <c r="V31" i="23" s="1"/>
  <c r="S31" i="23"/>
  <c r="X31" i="23" s="1"/>
  <c r="Y31" i="23"/>
  <c r="J32" i="23"/>
  <c r="K32" i="23"/>
  <c r="Z32" i="23" s="1"/>
  <c r="L32" i="23"/>
  <c r="N32" i="23"/>
  <c r="O32" i="23"/>
  <c r="T32" i="23" s="1"/>
  <c r="Q32" i="23"/>
  <c r="U32" i="23" s="1"/>
  <c r="R32" i="23"/>
  <c r="V32" i="23" s="1"/>
  <c r="S32" i="23"/>
  <c r="X32" i="23" s="1"/>
  <c r="Y32" i="23" s="1"/>
  <c r="J33" i="23"/>
  <c r="Z33" i="23" s="1"/>
  <c r="K33" i="23"/>
  <c r="L33" i="23"/>
  <c r="N33" i="23"/>
  <c r="O33" i="23"/>
  <c r="S33" i="23" s="1"/>
  <c r="X33" i="23" s="1"/>
  <c r="Y33" i="23" s="1"/>
  <c r="Q33" i="23"/>
  <c r="R33" i="23"/>
  <c r="V33" i="23" s="1"/>
  <c r="T33" i="23"/>
  <c r="U33" i="23"/>
  <c r="J34" i="23"/>
  <c r="K34" i="23"/>
  <c r="L34" i="23"/>
  <c r="N34" i="23"/>
  <c r="O34" i="23"/>
  <c r="S34" i="23" s="1"/>
  <c r="X34" i="23" s="1"/>
  <c r="Y34" i="23" s="1"/>
  <c r="Q34" i="23"/>
  <c r="R34" i="23"/>
  <c r="T34" i="23"/>
  <c r="U34" i="23"/>
  <c r="V34" i="23"/>
  <c r="J35" i="23"/>
  <c r="K35" i="23"/>
  <c r="Z35" i="23" s="1"/>
  <c r="L35" i="23"/>
  <c r="N35" i="23"/>
  <c r="O35" i="23"/>
  <c r="T35" i="23" s="1"/>
  <c r="W35" i="23" s="1"/>
  <c r="Q35" i="23"/>
  <c r="U35" i="23" s="1"/>
  <c r="R35" i="23"/>
  <c r="V35" i="23" s="1"/>
  <c r="S35" i="23"/>
  <c r="X35" i="23" s="1"/>
  <c r="Y35" i="23" s="1"/>
  <c r="J36" i="23"/>
  <c r="K36" i="23"/>
  <c r="L36" i="23"/>
  <c r="N36" i="23"/>
  <c r="O36" i="23"/>
  <c r="Q36" i="23"/>
  <c r="S36" i="23" s="1"/>
  <c r="X36" i="23" s="1"/>
  <c r="Y36" i="23" s="1"/>
  <c r="R36" i="23"/>
  <c r="T36" i="23"/>
  <c r="V36" i="23"/>
  <c r="Z36" i="23"/>
  <c r="J37" i="23"/>
  <c r="Z37" i="23" s="1"/>
  <c r="K37" i="23"/>
  <c r="L37" i="23"/>
  <c r="N37" i="23"/>
  <c r="O37" i="23"/>
  <c r="T37" i="23" s="1"/>
  <c r="Q37" i="23"/>
  <c r="R37" i="23"/>
  <c r="S37" i="23"/>
  <c r="X37" i="23" s="1"/>
  <c r="Y37" i="23" s="1"/>
  <c r="U37" i="23"/>
  <c r="V37" i="23"/>
  <c r="W37" i="23"/>
  <c r="J38" i="23"/>
  <c r="K38" i="23"/>
  <c r="L38" i="23"/>
  <c r="N38" i="23"/>
  <c r="O38" i="23"/>
  <c r="Q38" i="23"/>
  <c r="R38" i="23"/>
  <c r="S38" i="23"/>
  <c r="T38" i="23"/>
  <c r="U38" i="23"/>
  <c r="W38" i="23" s="1"/>
  <c r="V38" i="23"/>
  <c r="X38" i="23"/>
  <c r="Y38" i="23"/>
  <c r="Z38" i="23"/>
  <c r="J39" i="23"/>
  <c r="K39" i="23"/>
  <c r="L39" i="23"/>
  <c r="N39" i="23"/>
  <c r="O39" i="23"/>
  <c r="Q39" i="23"/>
  <c r="R39" i="23"/>
  <c r="V39" i="23" s="1"/>
  <c r="T39" i="23"/>
  <c r="U39" i="23"/>
  <c r="W39" i="23"/>
  <c r="Z39" i="23"/>
  <c r="J40" i="23"/>
  <c r="Z40" i="23" s="1"/>
  <c r="K40" i="23"/>
  <c r="L40" i="23"/>
  <c r="N40" i="23"/>
  <c r="O40" i="23"/>
  <c r="Q40" i="23"/>
  <c r="R40" i="23"/>
  <c r="S40" i="23"/>
  <c r="T40" i="23"/>
  <c r="U40" i="23"/>
  <c r="V40" i="23"/>
  <c r="X40" i="23"/>
  <c r="Y40" i="23" s="1"/>
  <c r="J41" i="23"/>
  <c r="K41" i="23"/>
  <c r="L41" i="23"/>
  <c r="N41" i="23"/>
  <c r="O41" i="23"/>
  <c r="Q41" i="23"/>
  <c r="R41" i="23"/>
  <c r="S41" i="23"/>
  <c r="T41" i="23"/>
  <c r="U41" i="23"/>
  <c r="V41" i="23"/>
  <c r="W41" i="23"/>
  <c r="X41" i="23"/>
  <c r="Y41" i="23"/>
  <c r="J42" i="23"/>
  <c r="K42" i="23"/>
  <c r="L42" i="23"/>
  <c r="N42" i="23"/>
  <c r="O42" i="23"/>
  <c r="S42" i="23" s="1"/>
  <c r="Q42" i="23"/>
  <c r="R42" i="23"/>
  <c r="T42" i="23"/>
  <c r="U42" i="23"/>
  <c r="V42" i="23"/>
  <c r="W42" i="23"/>
  <c r="X42" i="23"/>
  <c r="Y42" i="23"/>
  <c r="J43" i="23"/>
  <c r="Z43" i="23" s="1"/>
  <c r="K43" i="23"/>
  <c r="L43" i="23"/>
  <c r="N43" i="23"/>
  <c r="O43" i="23"/>
  <c r="S43" i="23" s="1"/>
  <c r="X43" i="23" s="1"/>
  <c r="Y43" i="23" s="1"/>
  <c r="Q43" i="23"/>
  <c r="R43" i="23"/>
  <c r="U43" i="23"/>
  <c r="V43" i="23"/>
  <c r="J44" i="23"/>
  <c r="Z44" i="23" s="1"/>
  <c r="K44" i="23"/>
  <c r="L44" i="23"/>
  <c r="N44" i="23"/>
  <c r="O44" i="23"/>
  <c r="Q44" i="23"/>
  <c r="U44" i="23" s="1"/>
  <c r="R44" i="23"/>
  <c r="V44" i="23"/>
  <c r="J45" i="23"/>
  <c r="K45" i="23"/>
  <c r="L45" i="23"/>
  <c r="N45" i="23"/>
  <c r="O45" i="23"/>
  <c r="Q45" i="23"/>
  <c r="U45" i="23" s="1"/>
  <c r="R45" i="23"/>
  <c r="V45" i="23" s="1"/>
  <c r="Z45" i="23"/>
  <c r="J46" i="23"/>
  <c r="K46" i="23"/>
  <c r="L46" i="23"/>
  <c r="N46" i="23"/>
  <c r="O46" i="23"/>
  <c r="Q46" i="23"/>
  <c r="U46" i="23" s="1"/>
  <c r="R46" i="23"/>
  <c r="V46" i="23" s="1"/>
  <c r="J47" i="23"/>
  <c r="K47" i="23"/>
  <c r="L47" i="23"/>
  <c r="N47" i="23"/>
  <c r="O47" i="23"/>
  <c r="Q47" i="23"/>
  <c r="U47" i="23" s="1"/>
  <c r="R47" i="23"/>
  <c r="V47" i="23" s="1"/>
  <c r="Z47" i="23"/>
  <c r="J48" i="23"/>
  <c r="K48" i="23"/>
  <c r="Z48" i="23" s="1"/>
  <c r="L48" i="23"/>
  <c r="N48" i="23"/>
  <c r="O48" i="23"/>
  <c r="Q48" i="23"/>
  <c r="U48" i="23" s="1"/>
  <c r="R48" i="23"/>
  <c r="V48" i="23" s="1"/>
  <c r="S48" i="23"/>
  <c r="X48" i="23" s="1"/>
  <c r="Y48" i="23" s="1"/>
  <c r="T48" i="23"/>
  <c r="W48" i="23" s="1"/>
  <c r="J49" i="23"/>
  <c r="Z49" i="23" s="1"/>
  <c r="K49" i="23"/>
  <c r="L49" i="23"/>
  <c r="N49" i="23"/>
  <c r="O49" i="23"/>
  <c r="Q49" i="23"/>
  <c r="R49" i="23"/>
  <c r="V49" i="23" s="1"/>
  <c r="S49" i="23"/>
  <c r="X49" i="23" s="1"/>
  <c r="Y49" i="23" s="1"/>
  <c r="T49" i="23"/>
  <c r="U49" i="23"/>
  <c r="J50" i="23"/>
  <c r="Z50" i="23" s="1"/>
  <c r="K50" i="23"/>
  <c r="L50" i="23"/>
  <c r="N50" i="23"/>
  <c r="O50" i="23"/>
  <c r="T50" i="23" s="1"/>
  <c r="W50" i="23" s="1"/>
  <c r="Q50" i="23"/>
  <c r="U50" i="23" s="1"/>
  <c r="R50" i="23"/>
  <c r="V50" i="23" s="1"/>
  <c r="J51" i="23"/>
  <c r="Z51" i="23" s="1"/>
  <c r="K51" i="23"/>
  <c r="L51" i="23"/>
  <c r="N51" i="23"/>
  <c r="O51" i="23"/>
  <c r="Q51" i="23"/>
  <c r="R51" i="23"/>
  <c r="U51" i="23"/>
  <c r="V51" i="23"/>
  <c r="J52" i="23"/>
  <c r="K52" i="23"/>
  <c r="L52" i="23"/>
  <c r="N52" i="23"/>
  <c r="O52" i="23"/>
  <c r="Q52" i="23"/>
  <c r="U52" i="23" s="1"/>
  <c r="R52" i="23"/>
  <c r="V52" i="23" s="1"/>
  <c r="T52" i="23"/>
  <c r="Z52" i="23"/>
  <c r="M3" i="22"/>
  <c r="N3" i="22"/>
  <c r="O3" i="22"/>
  <c r="AA3" i="22" s="1"/>
  <c r="AB3" i="22" s="1"/>
  <c r="AC3" i="22" s="1"/>
  <c r="P3" i="22"/>
  <c r="Q3" i="22"/>
  <c r="R3" i="22"/>
  <c r="S3" i="22"/>
  <c r="T3" i="22"/>
  <c r="X3" i="22" s="1"/>
  <c r="U3" i="22"/>
  <c r="Y3" i="22" s="1"/>
  <c r="V3" i="22"/>
  <c r="W3" i="22"/>
  <c r="M4" i="22"/>
  <c r="N4" i="22"/>
  <c r="AA4" i="22" s="1"/>
  <c r="AB4" i="22" s="1"/>
  <c r="AC4" i="22" s="1"/>
  <c r="O4" i="22"/>
  <c r="P4" i="22"/>
  <c r="Q4" i="22"/>
  <c r="R4" i="22"/>
  <c r="S4" i="22"/>
  <c r="T4" i="22"/>
  <c r="X4" i="22" s="1"/>
  <c r="U4" i="22"/>
  <c r="Y4" i="22" s="1"/>
  <c r="M5" i="22"/>
  <c r="N5" i="22"/>
  <c r="O5" i="22"/>
  <c r="P5" i="22"/>
  <c r="Q5" i="22"/>
  <c r="R5" i="22"/>
  <c r="S5" i="22"/>
  <c r="T5" i="22"/>
  <c r="U5" i="22"/>
  <c r="X5" i="22"/>
  <c r="Y5" i="22"/>
  <c r="AD5" i="22"/>
  <c r="M6" i="22"/>
  <c r="AA6" i="22" s="1"/>
  <c r="AB6" i="22" s="1"/>
  <c r="AC6" i="22" s="1"/>
  <c r="N6" i="22"/>
  <c r="O6" i="22"/>
  <c r="P6" i="22"/>
  <c r="Q6" i="22"/>
  <c r="R6" i="22"/>
  <c r="S6" i="22"/>
  <c r="T6" i="22"/>
  <c r="U6" i="22"/>
  <c r="V6" i="22"/>
  <c r="W6" i="22"/>
  <c r="X6" i="22"/>
  <c r="Y6" i="22"/>
  <c r="Z6" i="22"/>
  <c r="M7" i="22"/>
  <c r="N7" i="22"/>
  <c r="AD7" i="22" s="1"/>
  <c r="O7" i="22"/>
  <c r="AA7" i="22" s="1"/>
  <c r="AB7" i="22" s="1"/>
  <c r="AC7" i="22" s="1"/>
  <c r="P7" i="22"/>
  <c r="Q7" i="22"/>
  <c r="R7" i="22"/>
  <c r="S7" i="22"/>
  <c r="T7" i="22"/>
  <c r="V7" i="22" s="1"/>
  <c r="U7" i="22"/>
  <c r="Y7" i="22" s="1"/>
  <c r="W7" i="22"/>
  <c r="M8" i="22"/>
  <c r="AD8" i="22" s="1"/>
  <c r="N8" i="22"/>
  <c r="O8" i="22"/>
  <c r="P8" i="22"/>
  <c r="Q8" i="22"/>
  <c r="R8" i="22"/>
  <c r="S8" i="22"/>
  <c r="W8" i="22" s="1"/>
  <c r="T8" i="22"/>
  <c r="X8" i="22" s="1"/>
  <c r="U8" i="22"/>
  <c r="Y8" i="22"/>
  <c r="AA8" i="22"/>
  <c r="AB8" i="22"/>
  <c r="AC8" i="22" s="1"/>
  <c r="M9" i="22"/>
  <c r="N9" i="22"/>
  <c r="O9" i="22"/>
  <c r="AD9" i="22" s="1"/>
  <c r="P9" i="22"/>
  <c r="Q9" i="22"/>
  <c r="R9" i="22"/>
  <c r="S9" i="22"/>
  <c r="T9" i="22"/>
  <c r="V9" i="22" s="1"/>
  <c r="U9" i="22"/>
  <c r="W9" i="22"/>
  <c r="Y9" i="22"/>
  <c r="AA9" i="22"/>
  <c r="AB9" i="22" s="1"/>
  <c r="AC9" i="22" s="1"/>
  <c r="M10" i="22"/>
  <c r="N10" i="22"/>
  <c r="O10" i="22"/>
  <c r="AD10" i="22" s="1"/>
  <c r="P10" i="22"/>
  <c r="Q10" i="22"/>
  <c r="R10" i="22"/>
  <c r="S10" i="22"/>
  <c r="T10" i="22"/>
  <c r="V10" i="22" s="1"/>
  <c r="U10" i="22"/>
  <c r="Y10" i="22" s="1"/>
  <c r="W10" i="22"/>
  <c r="M11" i="22"/>
  <c r="AD11" i="22" s="1"/>
  <c r="N11" i="22"/>
  <c r="O11" i="22"/>
  <c r="P11" i="22"/>
  <c r="Q11" i="22"/>
  <c r="R11" i="22"/>
  <c r="S11" i="22"/>
  <c r="T11" i="22"/>
  <c r="X11" i="22" s="1"/>
  <c r="U11" i="22"/>
  <c r="Y11" i="22" s="1"/>
  <c r="V11" i="22"/>
  <c r="W11" i="22"/>
  <c r="Z11" i="22" s="1"/>
  <c r="M12" i="22"/>
  <c r="N12" i="22"/>
  <c r="O12" i="22"/>
  <c r="P12" i="22"/>
  <c r="Q12" i="22"/>
  <c r="R12" i="22"/>
  <c r="S12" i="22"/>
  <c r="T12" i="22"/>
  <c r="X12" i="22" s="1"/>
  <c r="U12" i="22"/>
  <c r="Y12" i="22" s="1"/>
  <c r="AA12" i="22"/>
  <c r="AB12" i="22"/>
  <c r="AC12" i="22" s="1"/>
  <c r="AD12" i="22"/>
  <c r="M13" i="22"/>
  <c r="N13" i="22"/>
  <c r="O13" i="22"/>
  <c r="P13" i="22"/>
  <c r="Q13" i="22"/>
  <c r="R13" i="22"/>
  <c r="S13" i="22"/>
  <c r="T13" i="22"/>
  <c r="U13" i="22"/>
  <c r="X13" i="22"/>
  <c r="Y13" i="22"/>
  <c r="AD13" i="22"/>
  <c r="M14" i="22"/>
  <c r="N14" i="22"/>
  <c r="AD14" i="22" s="1"/>
  <c r="O14" i="22"/>
  <c r="P14" i="22"/>
  <c r="Q14" i="22"/>
  <c r="R14" i="22"/>
  <c r="S14" i="22"/>
  <c r="T14" i="22"/>
  <c r="U14" i="22"/>
  <c r="V14" i="22"/>
  <c r="W14" i="22"/>
  <c r="X14" i="22"/>
  <c r="Z14" i="22" s="1"/>
  <c r="Y14" i="22"/>
  <c r="M15" i="22"/>
  <c r="AA15" i="22" s="1"/>
  <c r="AB15" i="22" s="1"/>
  <c r="AC15" i="22" s="1"/>
  <c r="N15" i="22"/>
  <c r="O15" i="22"/>
  <c r="P15" i="22"/>
  <c r="Q15" i="22"/>
  <c r="R15" i="22"/>
  <c r="S15" i="22"/>
  <c r="T15" i="22"/>
  <c r="V15" i="22" s="1"/>
  <c r="U15" i="22"/>
  <c r="Y15" i="22" s="1"/>
  <c r="W15" i="22"/>
  <c r="AD15" i="22"/>
  <c r="M16" i="22"/>
  <c r="AD16" i="22" s="1"/>
  <c r="N16" i="22"/>
  <c r="O16" i="22"/>
  <c r="P16" i="22"/>
  <c r="Q16" i="22"/>
  <c r="R16" i="22"/>
  <c r="S16" i="22"/>
  <c r="W16" i="22" s="1"/>
  <c r="Z16" i="22" s="1"/>
  <c r="T16" i="22"/>
  <c r="U16" i="22"/>
  <c r="X16" i="22"/>
  <c r="Y16" i="22"/>
  <c r="AA16" i="22"/>
  <c r="AB16" i="22"/>
  <c r="AC16" i="22"/>
  <c r="M17" i="22"/>
  <c r="N17" i="22"/>
  <c r="O17" i="22"/>
  <c r="AD17" i="22" s="1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 s="1"/>
  <c r="AC17" i="22" s="1"/>
  <c r="M18" i="22"/>
  <c r="AA18" i="22" s="1"/>
  <c r="AB18" i="22" s="1"/>
  <c r="AC18" i="22" s="1"/>
  <c r="N18" i="22"/>
  <c r="O18" i="22"/>
  <c r="P18" i="22"/>
  <c r="Q18" i="22"/>
  <c r="R18" i="22"/>
  <c r="S18" i="22"/>
  <c r="T18" i="22"/>
  <c r="V18" i="22" s="1"/>
  <c r="U18" i="22"/>
  <c r="W18" i="22"/>
  <c r="Y18" i="22"/>
  <c r="AD18" i="22"/>
  <c r="M19" i="22"/>
  <c r="AD19" i="22" s="1"/>
  <c r="N19" i="22"/>
  <c r="O19" i="22"/>
  <c r="P19" i="22"/>
  <c r="Q19" i="22"/>
  <c r="R19" i="22"/>
  <c r="S19" i="22"/>
  <c r="T19" i="22"/>
  <c r="X19" i="22" s="1"/>
  <c r="U19" i="22"/>
  <c r="Y19" i="22" s="1"/>
  <c r="V19" i="22"/>
  <c r="W19" i="22"/>
  <c r="M20" i="22"/>
  <c r="N20" i="22"/>
  <c r="AA20" i="22" s="1"/>
  <c r="AB20" i="22" s="1"/>
  <c r="AC20" i="22" s="1"/>
  <c r="O20" i="22"/>
  <c r="P20" i="22"/>
  <c r="Q20" i="22"/>
  <c r="R20" i="22"/>
  <c r="S20" i="22"/>
  <c r="T20" i="22"/>
  <c r="X20" i="22" s="1"/>
  <c r="U20" i="22"/>
  <c r="Y20" i="22" s="1"/>
  <c r="M21" i="22"/>
  <c r="N21" i="22"/>
  <c r="O21" i="22"/>
  <c r="P21" i="22"/>
  <c r="Q21" i="22"/>
  <c r="R21" i="22"/>
  <c r="S21" i="22"/>
  <c r="T21" i="22"/>
  <c r="U21" i="22"/>
  <c r="X21" i="22"/>
  <c r="Y21" i="22"/>
  <c r="AD21" i="22"/>
  <c r="M22" i="22"/>
  <c r="AA22" i="22" s="1"/>
  <c r="AB22" i="22" s="1"/>
  <c r="AC22" i="22" s="1"/>
  <c r="N22" i="22"/>
  <c r="O22" i="22"/>
  <c r="P22" i="22"/>
  <c r="Q22" i="22"/>
  <c r="R22" i="22"/>
  <c r="S22" i="22"/>
  <c r="T22" i="22"/>
  <c r="U22" i="22"/>
  <c r="V22" i="22"/>
  <c r="W22" i="22"/>
  <c r="X22" i="22"/>
  <c r="Y22" i="22"/>
  <c r="Z22" i="22"/>
  <c r="AD22" i="22"/>
  <c r="M23" i="22"/>
  <c r="N23" i="22"/>
  <c r="AD23" i="22" s="1"/>
  <c r="O23" i="22"/>
  <c r="AA23" i="22" s="1"/>
  <c r="AB23" i="22" s="1"/>
  <c r="AC23" i="22" s="1"/>
  <c r="P23" i="22"/>
  <c r="Q23" i="22"/>
  <c r="R23" i="22"/>
  <c r="S23" i="22"/>
  <c r="T23" i="22"/>
  <c r="V23" i="22" s="1"/>
  <c r="U23" i="22"/>
  <c r="Y23" i="22" s="1"/>
  <c r="W23" i="22"/>
  <c r="M24" i="22"/>
  <c r="AD24" i="22" s="1"/>
  <c r="N24" i="22"/>
  <c r="O24" i="22"/>
  <c r="P24" i="22"/>
  <c r="Q24" i="22"/>
  <c r="R24" i="22"/>
  <c r="S24" i="22"/>
  <c r="W24" i="22" s="1"/>
  <c r="T24" i="22"/>
  <c r="X24" i="22" s="1"/>
  <c r="U24" i="22"/>
  <c r="Y24" i="22"/>
  <c r="AA24" i="22"/>
  <c r="AB24" i="22"/>
  <c r="AC24" i="22" s="1"/>
  <c r="M25" i="22"/>
  <c r="N25" i="22"/>
  <c r="O25" i="22"/>
  <c r="AD25" i="22" s="1"/>
  <c r="P25" i="22"/>
  <c r="Q25" i="22"/>
  <c r="R25" i="22"/>
  <c r="S25" i="22"/>
  <c r="T25" i="22"/>
  <c r="V25" i="22" s="1"/>
  <c r="U25" i="22"/>
  <c r="W25" i="22"/>
  <c r="Y25" i="22"/>
  <c r="AA25" i="22"/>
  <c r="AB25" i="22" s="1"/>
  <c r="AC25" i="22" s="1"/>
  <c r="M26" i="22"/>
  <c r="N26" i="22"/>
  <c r="O26" i="22"/>
  <c r="AD26" i="22" s="1"/>
  <c r="P26" i="22"/>
  <c r="Q26" i="22"/>
  <c r="R26" i="22"/>
  <c r="S26" i="22"/>
  <c r="T26" i="22"/>
  <c r="V26" i="22" s="1"/>
  <c r="U26" i="22"/>
  <c r="Y26" i="22" s="1"/>
  <c r="W26" i="22"/>
  <c r="M27" i="22"/>
  <c r="N27" i="22"/>
  <c r="O27" i="22"/>
  <c r="P27" i="22"/>
  <c r="Q27" i="22"/>
  <c r="R27" i="22"/>
  <c r="S27" i="22"/>
  <c r="T27" i="22"/>
  <c r="X27" i="22" s="1"/>
  <c r="U27" i="22"/>
  <c r="Y27" i="22" s="1"/>
  <c r="V27" i="22"/>
  <c r="W27" i="22"/>
  <c r="Z27" i="22" s="1"/>
  <c r="M28" i="22"/>
  <c r="N28" i="22"/>
  <c r="O28" i="22"/>
  <c r="P28" i="22"/>
  <c r="Q28" i="22"/>
  <c r="R28" i="22"/>
  <c r="S28" i="22"/>
  <c r="T28" i="22"/>
  <c r="X28" i="22" s="1"/>
  <c r="U28" i="22"/>
  <c r="Y28" i="22" s="1"/>
  <c r="AA28" i="22"/>
  <c r="AB28" i="22"/>
  <c r="AC28" i="22" s="1"/>
  <c r="AD28" i="22"/>
  <c r="M29" i="22"/>
  <c r="N29" i="22"/>
  <c r="O29" i="22"/>
  <c r="P29" i="22"/>
  <c r="Q29" i="22"/>
  <c r="R29" i="22"/>
  <c r="S29" i="22"/>
  <c r="T29" i="22"/>
  <c r="U29" i="22"/>
  <c r="X29" i="22"/>
  <c r="Y29" i="22"/>
  <c r="AD29" i="22"/>
  <c r="M30" i="22"/>
  <c r="N30" i="22"/>
  <c r="O30" i="22"/>
  <c r="P30" i="22"/>
  <c r="Q30" i="22"/>
  <c r="R30" i="22"/>
  <c r="S30" i="22"/>
  <c r="T30" i="22"/>
  <c r="U30" i="22"/>
  <c r="V30" i="22"/>
  <c r="W30" i="22"/>
  <c r="X30" i="22"/>
  <c r="Z30" i="22" s="1"/>
  <c r="Y30" i="22"/>
  <c r="M31" i="22"/>
  <c r="AD31" i="22" s="1"/>
  <c r="N31" i="22"/>
  <c r="O31" i="22"/>
  <c r="P31" i="22"/>
  <c r="Q31" i="22"/>
  <c r="R31" i="22"/>
  <c r="S31" i="22"/>
  <c r="T31" i="22"/>
  <c r="V31" i="22" s="1"/>
  <c r="U31" i="22"/>
  <c r="Y31" i="22" s="1"/>
  <c r="W31" i="22"/>
  <c r="M32" i="22"/>
  <c r="AD32" i="22" s="1"/>
  <c r="N32" i="22"/>
  <c r="O32" i="22"/>
  <c r="P32" i="22"/>
  <c r="Q32" i="22"/>
  <c r="R32" i="22"/>
  <c r="S32" i="22"/>
  <c r="W32" i="22" s="1"/>
  <c r="Z32" i="22" s="1"/>
  <c r="T32" i="22"/>
  <c r="U32" i="22"/>
  <c r="X32" i="22"/>
  <c r="Y32" i="22"/>
  <c r="AA32" i="22"/>
  <c r="AB32" i="22"/>
  <c r="AC32" i="22"/>
  <c r="M33" i="22"/>
  <c r="N33" i="22"/>
  <c r="O33" i="22"/>
  <c r="AD33" i="22" s="1"/>
  <c r="P33" i="22"/>
  <c r="Q33" i="22"/>
  <c r="R33" i="22"/>
  <c r="S33" i="22"/>
  <c r="T33" i="22"/>
  <c r="U33" i="22"/>
  <c r="V33" i="22"/>
  <c r="W33" i="22"/>
  <c r="X33" i="22"/>
  <c r="Y33" i="22"/>
  <c r="Z33" i="22"/>
  <c r="AA33" i="22"/>
  <c r="AB33" i="22" s="1"/>
  <c r="AC33" i="22" s="1"/>
  <c r="M34" i="22"/>
  <c r="AA34" i="22" s="1"/>
  <c r="AB34" i="22" s="1"/>
  <c r="AC34" i="22" s="1"/>
  <c r="N34" i="22"/>
  <c r="O34" i="22"/>
  <c r="P34" i="22"/>
  <c r="Q34" i="22"/>
  <c r="R34" i="22"/>
  <c r="S34" i="22"/>
  <c r="T34" i="22"/>
  <c r="V34" i="22" s="1"/>
  <c r="U34" i="22"/>
  <c r="W34" i="22"/>
  <c r="Y34" i="22"/>
  <c r="AD34" i="22"/>
  <c r="M35" i="22"/>
  <c r="N35" i="22"/>
  <c r="O35" i="22"/>
  <c r="P35" i="22"/>
  <c r="Q35" i="22"/>
  <c r="R35" i="22"/>
  <c r="S35" i="22"/>
  <c r="T35" i="22"/>
  <c r="X35" i="22" s="1"/>
  <c r="U35" i="22"/>
  <c r="Y35" i="22" s="1"/>
  <c r="V35" i="22"/>
  <c r="W35" i="22"/>
  <c r="M36" i="22"/>
  <c r="N36" i="22"/>
  <c r="AA36" i="22" s="1"/>
  <c r="AB36" i="22" s="1"/>
  <c r="AC36" i="22" s="1"/>
  <c r="O36" i="22"/>
  <c r="P36" i="22"/>
  <c r="Q36" i="22"/>
  <c r="R36" i="22"/>
  <c r="S36" i="22"/>
  <c r="T36" i="22"/>
  <c r="X36" i="22" s="1"/>
  <c r="U36" i="22"/>
  <c r="Y36" i="22" s="1"/>
  <c r="M37" i="22"/>
  <c r="N37" i="22"/>
  <c r="O37" i="22"/>
  <c r="P37" i="22"/>
  <c r="Q37" i="22"/>
  <c r="R37" i="22"/>
  <c r="S37" i="22"/>
  <c r="T37" i="22"/>
  <c r="U37" i="22"/>
  <c r="X37" i="22"/>
  <c r="Y37" i="22"/>
  <c r="AD37" i="22"/>
  <c r="M38" i="22"/>
  <c r="AA38" i="22" s="1"/>
  <c r="AB38" i="22" s="1"/>
  <c r="AC38" i="22" s="1"/>
  <c r="N38" i="22"/>
  <c r="O38" i="22"/>
  <c r="P38" i="22"/>
  <c r="Q38" i="22"/>
  <c r="R38" i="22"/>
  <c r="S38" i="22"/>
  <c r="T38" i="22"/>
  <c r="U38" i="22"/>
  <c r="V38" i="22"/>
  <c r="W38" i="22"/>
  <c r="X38" i="22"/>
  <c r="Y38" i="22"/>
  <c r="Z38" i="22"/>
  <c r="M39" i="22"/>
  <c r="N39" i="22"/>
  <c r="O39" i="22"/>
  <c r="AA39" i="22" s="1"/>
  <c r="AB39" i="22" s="1"/>
  <c r="AC39" i="22" s="1"/>
  <c r="P39" i="22"/>
  <c r="Q39" i="22"/>
  <c r="R39" i="22"/>
  <c r="S39" i="22"/>
  <c r="T39" i="22"/>
  <c r="V39" i="22" s="1"/>
  <c r="U39" i="22"/>
  <c r="Y39" i="22" s="1"/>
  <c r="W39" i="22"/>
  <c r="M40" i="22"/>
  <c r="AD40" i="22" s="1"/>
  <c r="N40" i="22"/>
  <c r="O40" i="22"/>
  <c r="P40" i="22"/>
  <c r="Q40" i="22"/>
  <c r="R40" i="22"/>
  <c r="S40" i="22"/>
  <c r="W40" i="22" s="1"/>
  <c r="Z40" i="22" s="1"/>
  <c r="T40" i="22"/>
  <c r="X40" i="22" s="1"/>
  <c r="U40" i="22"/>
  <c r="Y40" i="22"/>
  <c r="AA40" i="22"/>
  <c r="AB40" i="22"/>
  <c r="AC40" i="22" s="1"/>
  <c r="M41" i="22"/>
  <c r="N41" i="22"/>
  <c r="O41" i="22"/>
  <c r="AD41" i="22" s="1"/>
  <c r="P41" i="22"/>
  <c r="Q41" i="22"/>
  <c r="R41" i="22"/>
  <c r="S41" i="22"/>
  <c r="T41" i="22"/>
  <c r="V41" i="22" s="1"/>
  <c r="U41" i="22"/>
  <c r="W41" i="22"/>
  <c r="Y41" i="22"/>
  <c r="AA41" i="22"/>
  <c r="AB41" i="22" s="1"/>
  <c r="AC41" i="22" s="1"/>
  <c r="M42" i="22"/>
  <c r="N42" i="22"/>
  <c r="O42" i="22"/>
  <c r="AD42" i="22" s="1"/>
  <c r="P42" i="22"/>
  <c r="Q42" i="22"/>
  <c r="R42" i="22"/>
  <c r="S42" i="22"/>
  <c r="T42" i="22"/>
  <c r="V42" i="22" s="1"/>
  <c r="U42" i="22"/>
  <c r="Y42" i="22" s="1"/>
  <c r="W42" i="22"/>
  <c r="M43" i="22"/>
  <c r="N43" i="22"/>
  <c r="O43" i="22"/>
  <c r="P43" i="22"/>
  <c r="Q43" i="22"/>
  <c r="R43" i="22"/>
  <c r="S43" i="22"/>
  <c r="T43" i="22"/>
  <c r="X43" i="22" s="1"/>
  <c r="U43" i="22"/>
  <c r="Y43" i="22" s="1"/>
  <c r="V43" i="22"/>
  <c r="W43" i="22"/>
  <c r="Z43" i="22" s="1"/>
  <c r="M44" i="22"/>
  <c r="N44" i="22"/>
  <c r="O44" i="22"/>
  <c r="P44" i="22"/>
  <c r="Q44" i="22"/>
  <c r="R44" i="22"/>
  <c r="S44" i="22"/>
  <c r="T44" i="22"/>
  <c r="X44" i="22" s="1"/>
  <c r="U44" i="22"/>
  <c r="Y44" i="22" s="1"/>
  <c r="AA44" i="22"/>
  <c r="AB44" i="22"/>
  <c r="AC44" i="22" s="1"/>
  <c r="AD44" i="22"/>
  <c r="M45" i="22"/>
  <c r="N45" i="22"/>
  <c r="O45" i="22"/>
  <c r="P45" i="22"/>
  <c r="Q45" i="22"/>
  <c r="R45" i="22"/>
  <c r="S45" i="22"/>
  <c r="T45" i="22"/>
  <c r="U45" i="22"/>
  <c r="X45" i="22"/>
  <c r="Y45" i="22"/>
  <c r="AD45" i="22"/>
  <c r="M46" i="22"/>
  <c r="N46" i="22"/>
  <c r="AD46" i="22" s="1"/>
  <c r="O46" i="22"/>
  <c r="P46" i="22"/>
  <c r="Q46" i="22"/>
  <c r="R46" i="22"/>
  <c r="S46" i="22"/>
  <c r="T46" i="22"/>
  <c r="U46" i="22"/>
  <c r="V46" i="22"/>
  <c r="W46" i="22"/>
  <c r="X46" i="22"/>
  <c r="Z46" i="22" s="1"/>
  <c r="Y46" i="22"/>
  <c r="M47" i="22"/>
  <c r="AD47" i="22" s="1"/>
  <c r="N47" i="22"/>
  <c r="O47" i="22"/>
  <c r="P47" i="22"/>
  <c r="Q47" i="22"/>
  <c r="R47" i="22"/>
  <c r="S47" i="22"/>
  <c r="T47" i="22"/>
  <c r="V47" i="22" s="1"/>
  <c r="U47" i="22"/>
  <c r="Y47" i="22" s="1"/>
  <c r="W47" i="22"/>
  <c r="M48" i="22"/>
  <c r="AD48" i="22" s="1"/>
  <c r="N48" i="22"/>
  <c r="O48" i="22"/>
  <c r="P48" i="22"/>
  <c r="Q48" i="22"/>
  <c r="R48" i="22"/>
  <c r="S48" i="22"/>
  <c r="W48" i="22" s="1"/>
  <c r="Z48" i="22" s="1"/>
  <c r="T48" i="22"/>
  <c r="U48" i="22"/>
  <c r="X48" i="22"/>
  <c r="Y48" i="22"/>
  <c r="AA48" i="22"/>
  <c r="AB48" i="22"/>
  <c r="AC48" i="22"/>
  <c r="M49" i="22"/>
  <c r="N49" i="22"/>
  <c r="O49" i="22"/>
  <c r="AD49" i="22" s="1"/>
  <c r="P49" i="22"/>
  <c r="Q49" i="22"/>
  <c r="R49" i="22"/>
  <c r="S49" i="22"/>
  <c r="T49" i="22"/>
  <c r="U49" i="22"/>
  <c r="V49" i="22"/>
  <c r="W49" i="22"/>
  <c r="X49" i="22"/>
  <c r="Y49" i="22"/>
  <c r="Z49" i="22"/>
  <c r="AA49" i="22"/>
  <c r="AB49" i="22" s="1"/>
  <c r="AC49" i="22" s="1"/>
  <c r="M50" i="22"/>
  <c r="AA50" i="22" s="1"/>
  <c r="AB50" i="22" s="1"/>
  <c r="AC50" i="22" s="1"/>
  <c r="N50" i="22"/>
  <c r="O50" i="22"/>
  <c r="P50" i="22"/>
  <c r="Q50" i="22"/>
  <c r="R50" i="22"/>
  <c r="S50" i="22"/>
  <c r="T50" i="22"/>
  <c r="V50" i="22" s="1"/>
  <c r="U50" i="22"/>
  <c r="W50" i="22"/>
  <c r="Y50" i="22"/>
  <c r="AD50" i="22"/>
  <c r="M51" i="22"/>
  <c r="AD51" i="22" s="1"/>
  <c r="N51" i="22"/>
  <c r="O51" i="22"/>
  <c r="P51" i="22"/>
  <c r="Q51" i="22"/>
  <c r="R51" i="22"/>
  <c r="S51" i="22"/>
  <c r="T51" i="22"/>
  <c r="X51" i="22" s="1"/>
  <c r="U51" i="22"/>
  <c r="Y51" i="22" s="1"/>
  <c r="V51" i="22"/>
  <c r="W51" i="22"/>
  <c r="M52" i="22"/>
  <c r="N52" i="22"/>
  <c r="AA52" i="22" s="1"/>
  <c r="AB52" i="22" s="1"/>
  <c r="AC52" i="22" s="1"/>
  <c r="O52" i="22"/>
  <c r="P52" i="22"/>
  <c r="Q52" i="22"/>
  <c r="R52" i="22"/>
  <c r="S52" i="22"/>
  <c r="T52" i="22"/>
  <c r="X52" i="22" s="1"/>
  <c r="U52" i="22"/>
  <c r="Y52" i="22" s="1"/>
  <c r="Z44" i="24" l="1"/>
  <c r="Z24" i="22"/>
  <c r="Z8" i="22"/>
  <c r="AA35" i="22"/>
  <c r="AB35" i="22" s="1"/>
  <c r="AC35" i="22" s="1"/>
  <c r="AD36" i="24"/>
  <c r="Z24" i="24"/>
  <c r="V29" i="25"/>
  <c r="AA29" i="25" s="1"/>
  <c r="AB29" i="25" s="1"/>
  <c r="AC29" i="25" s="1"/>
  <c r="W29" i="25"/>
  <c r="Z29" i="25" s="1"/>
  <c r="Z30" i="23"/>
  <c r="V34" i="24"/>
  <c r="AA34" i="24" s="1"/>
  <c r="AB34" i="24" s="1"/>
  <c r="AC34" i="24" s="1"/>
  <c r="X34" i="24"/>
  <c r="Z34" i="24" s="1"/>
  <c r="V28" i="24"/>
  <c r="AA28" i="24" s="1"/>
  <c r="AB28" i="24" s="1"/>
  <c r="AC28" i="24" s="1"/>
  <c r="V6" i="24"/>
  <c r="AA6" i="24" s="1"/>
  <c r="AB6" i="24" s="1"/>
  <c r="AC6" i="24" s="1"/>
  <c r="W6" i="24"/>
  <c r="Z6" i="24" s="1"/>
  <c r="V47" i="25"/>
  <c r="AA47" i="25" s="1"/>
  <c r="AB47" i="25" s="1"/>
  <c r="AC47" i="25" s="1"/>
  <c r="W47" i="25"/>
  <c r="Z47" i="25" s="1"/>
  <c r="V30" i="25"/>
  <c r="AA30" i="25" s="1"/>
  <c r="AB30" i="25" s="1"/>
  <c r="AC30" i="25" s="1"/>
  <c r="V7" i="25"/>
  <c r="AA7" i="25" s="1"/>
  <c r="AB7" i="25" s="1"/>
  <c r="AC7" i="25" s="1"/>
  <c r="W7" i="25"/>
  <c r="Z7" i="25" s="1"/>
  <c r="T15" i="23"/>
  <c r="W15" i="23" s="1"/>
  <c r="S15" i="23"/>
  <c r="X15" i="23" s="1"/>
  <c r="Y15" i="23" s="1"/>
  <c r="AD5" i="24"/>
  <c r="AA47" i="22"/>
  <c r="AB47" i="22" s="1"/>
  <c r="AC47" i="22" s="1"/>
  <c r="AA31" i="22"/>
  <c r="AB31" i="22" s="1"/>
  <c r="AC31" i="22" s="1"/>
  <c r="S44" i="23"/>
  <c r="X44" i="23" s="1"/>
  <c r="Y44" i="23" s="1"/>
  <c r="T44" i="23"/>
  <c r="W44" i="23" s="1"/>
  <c r="W33" i="23"/>
  <c r="W21" i="23"/>
  <c r="V23" i="25"/>
  <c r="AA23" i="25" s="1"/>
  <c r="AB23" i="25" s="1"/>
  <c r="AC23" i="25" s="1"/>
  <c r="W23" i="25"/>
  <c r="Z23" i="25" s="1"/>
  <c r="V11" i="25"/>
  <c r="AA11" i="25" s="1"/>
  <c r="AB11" i="25" s="1"/>
  <c r="AC11" i="25" s="1"/>
  <c r="W11" i="25"/>
  <c r="Z11" i="25" s="1"/>
  <c r="W52" i="23"/>
  <c r="X50" i="22"/>
  <c r="X47" i="22"/>
  <c r="Z47" i="22" s="1"/>
  <c r="AD35" i="22"/>
  <c r="X34" i="22"/>
  <c r="Z34" i="22" s="1"/>
  <c r="X31" i="22"/>
  <c r="Z31" i="22" s="1"/>
  <c r="X18" i="22"/>
  <c r="Z18" i="22" s="1"/>
  <c r="X15" i="22"/>
  <c r="Z15" i="22" s="1"/>
  <c r="S52" i="23"/>
  <c r="X52" i="23" s="1"/>
  <c r="Y52" i="23" s="1"/>
  <c r="U36" i="23"/>
  <c r="W36" i="23" s="1"/>
  <c r="W26" i="23"/>
  <c r="Z15" i="23"/>
  <c r="Z48" i="24"/>
  <c r="AD22" i="24"/>
  <c r="V11" i="24"/>
  <c r="AA11" i="24" s="1"/>
  <c r="AB11" i="24" s="1"/>
  <c r="AC11" i="24" s="1"/>
  <c r="W11" i="24"/>
  <c r="Z11" i="24" s="1"/>
  <c r="Z45" i="25"/>
  <c r="V12" i="25"/>
  <c r="AA12" i="25" s="1"/>
  <c r="AB12" i="25" s="1"/>
  <c r="AC12" i="25" s="1"/>
  <c r="W12" i="25"/>
  <c r="Z12" i="25" s="1"/>
  <c r="V37" i="24"/>
  <c r="AA37" i="24" s="1"/>
  <c r="AB37" i="24" s="1"/>
  <c r="W37" i="24"/>
  <c r="Z37" i="24" s="1"/>
  <c r="V37" i="22"/>
  <c r="W37" i="22"/>
  <c r="Z37" i="22" s="1"/>
  <c r="Z31" i="24"/>
  <c r="Z3" i="24"/>
  <c r="AA19" i="22"/>
  <c r="AB19" i="22" s="1"/>
  <c r="AC19" i="22" s="1"/>
  <c r="V47" i="24"/>
  <c r="AA47" i="24" s="1"/>
  <c r="AB47" i="24" s="1"/>
  <c r="AC47" i="24" s="1"/>
  <c r="W47" i="24"/>
  <c r="Z47" i="24" s="1"/>
  <c r="Z50" i="22"/>
  <c r="V48" i="22"/>
  <c r="V44" i="22"/>
  <c r="W44" i="22"/>
  <c r="Z44" i="22" s="1"/>
  <c r="V28" i="22"/>
  <c r="W28" i="22"/>
  <c r="Z28" i="22" s="1"/>
  <c r="V16" i="22"/>
  <c r="V12" i="22"/>
  <c r="W12" i="22"/>
  <c r="Z12" i="22" s="1"/>
  <c r="T16" i="23"/>
  <c r="W16" i="23" s="1"/>
  <c r="W25" i="24"/>
  <c r="Z25" i="24" s="1"/>
  <c r="R11" i="24"/>
  <c r="W4" i="24"/>
  <c r="Z4" i="24" s="1"/>
  <c r="W38" i="25"/>
  <c r="Z38" i="25" s="1"/>
  <c r="V38" i="25"/>
  <c r="AA38" i="25" s="1"/>
  <c r="AB38" i="25" s="1"/>
  <c r="AC38" i="25" s="1"/>
  <c r="V18" i="25"/>
  <c r="AA18" i="25" s="1"/>
  <c r="AB18" i="25" s="1"/>
  <c r="AC18" i="25" s="1"/>
  <c r="X18" i="25"/>
  <c r="Z18" i="25" s="1"/>
  <c r="W3" i="25"/>
  <c r="Z3" i="25" s="1"/>
  <c r="AA37" i="22"/>
  <c r="AB37" i="22" s="1"/>
  <c r="AC37" i="22" s="1"/>
  <c r="AA21" i="22"/>
  <c r="AB21" i="22" s="1"/>
  <c r="AC21" i="22" s="1"/>
  <c r="AA5" i="22"/>
  <c r="AB5" i="22" s="1"/>
  <c r="AC5" i="22" s="1"/>
  <c r="V35" i="24"/>
  <c r="AA35" i="24" s="1"/>
  <c r="AB35" i="24" s="1"/>
  <c r="AC35" i="24" s="1"/>
  <c r="Z15" i="24"/>
  <c r="W12" i="24"/>
  <c r="Z12" i="24" s="1"/>
  <c r="Z30" i="25"/>
  <c r="W5" i="25"/>
  <c r="Z5" i="25" s="1"/>
  <c r="AA30" i="22"/>
  <c r="AB30" i="22" s="1"/>
  <c r="AC30" i="22" s="1"/>
  <c r="S51" i="23"/>
  <c r="X51" i="23" s="1"/>
  <c r="Y51" i="23" s="1"/>
  <c r="T51" i="23"/>
  <c r="W51" i="23" s="1"/>
  <c r="S28" i="23"/>
  <c r="X28" i="23" s="1"/>
  <c r="Y28" i="23" s="1"/>
  <c r="T28" i="23"/>
  <c r="W28" i="23" s="1"/>
  <c r="S13" i="23"/>
  <c r="X13" i="23" s="1"/>
  <c r="Y13" i="23" s="1"/>
  <c r="T13" i="23"/>
  <c r="W13" i="23" s="1"/>
  <c r="V44" i="24"/>
  <c r="AA44" i="24" s="1"/>
  <c r="AB44" i="24" s="1"/>
  <c r="AC44" i="24" s="1"/>
  <c r="V10" i="24"/>
  <c r="AA10" i="24" s="1"/>
  <c r="AB10" i="24" s="1"/>
  <c r="AC10" i="24" s="1"/>
  <c r="X10" i="24"/>
  <c r="Z10" i="24" s="1"/>
  <c r="V32" i="22"/>
  <c r="X50" i="25"/>
  <c r="Z50" i="25" s="1"/>
  <c r="AD52" i="22"/>
  <c r="Z51" i="22"/>
  <c r="AA42" i="22"/>
  <c r="AB42" i="22" s="1"/>
  <c r="AC42" i="22" s="1"/>
  <c r="AD39" i="22"/>
  <c r="AD36" i="22"/>
  <c r="Z35" i="22"/>
  <c r="AA26" i="22"/>
  <c r="AB26" i="22" s="1"/>
  <c r="AC26" i="22" s="1"/>
  <c r="AD20" i="22"/>
  <c r="Z19" i="22"/>
  <c r="AA10" i="22"/>
  <c r="AB10" i="22" s="1"/>
  <c r="AC10" i="22" s="1"/>
  <c r="AD4" i="22"/>
  <c r="Z3" i="22"/>
  <c r="T47" i="23"/>
  <c r="W47" i="23" s="1"/>
  <c r="S47" i="23"/>
  <c r="X47" i="23" s="1"/>
  <c r="Y47" i="23" s="1"/>
  <c r="S29" i="23"/>
  <c r="X29" i="23" s="1"/>
  <c r="Y29" i="23" s="1"/>
  <c r="T29" i="23"/>
  <c r="W29" i="23" s="1"/>
  <c r="S7" i="23"/>
  <c r="X7" i="23" s="1"/>
  <c r="Y7" i="23" s="1"/>
  <c r="AD47" i="24"/>
  <c r="V21" i="24"/>
  <c r="AA21" i="24" s="1"/>
  <c r="AB21" i="24" s="1"/>
  <c r="AC21" i="24" s="1"/>
  <c r="W21" i="24"/>
  <c r="Z21" i="24" s="1"/>
  <c r="V13" i="25"/>
  <c r="AA13" i="25" s="1"/>
  <c r="AB13" i="25" s="1"/>
  <c r="AC13" i="25" s="1"/>
  <c r="W13" i="25"/>
  <c r="Z13" i="25" s="1"/>
  <c r="V22" i="24"/>
  <c r="AA22" i="24" s="1"/>
  <c r="AB22" i="24" s="1"/>
  <c r="AC22" i="24" s="1"/>
  <c r="W22" i="24"/>
  <c r="Z22" i="24" s="1"/>
  <c r="Z27" i="24"/>
  <c r="V13" i="22"/>
  <c r="W13" i="22"/>
  <c r="Z13" i="22" s="1"/>
  <c r="W49" i="23"/>
  <c r="AD39" i="25"/>
  <c r="V21" i="25"/>
  <c r="AA21" i="25" s="1"/>
  <c r="AB21" i="25" s="1"/>
  <c r="AC21" i="25" s="1"/>
  <c r="W21" i="25"/>
  <c r="Z21" i="25" s="1"/>
  <c r="V26" i="25"/>
  <c r="AA26" i="25" s="1"/>
  <c r="AB26" i="25" s="1"/>
  <c r="AC26" i="25" s="1"/>
  <c r="X26" i="25"/>
  <c r="Z26" i="25" s="1"/>
  <c r="V18" i="24"/>
  <c r="AA18" i="24" s="1"/>
  <c r="AB18" i="24" s="1"/>
  <c r="AC18" i="24" s="1"/>
  <c r="X18" i="24"/>
  <c r="Z18" i="24" s="1"/>
  <c r="X9" i="22"/>
  <c r="Z9" i="22" s="1"/>
  <c r="Z26" i="24"/>
  <c r="W52" i="25"/>
  <c r="Z52" i="25" s="1"/>
  <c r="X36" i="25"/>
  <c r="Z36" i="25" s="1"/>
  <c r="Z28" i="25"/>
  <c r="AD12" i="24"/>
  <c r="Z43" i="25"/>
  <c r="AA43" i="22"/>
  <c r="AB43" i="22" s="1"/>
  <c r="AC43" i="22" s="1"/>
  <c r="AA27" i="22"/>
  <c r="AB27" i="22" s="1"/>
  <c r="AC27" i="22" s="1"/>
  <c r="S50" i="23"/>
  <c r="X50" i="23" s="1"/>
  <c r="Y50" i="23" s="1"/>
  <c r="AD30" i="24"/>
  <c r="X25" i="22"/>
  <c r="Z25" i="22" s="1"/>
  <c r="AD43" i="22"/>
  <c r="X39" i="22"/>
  <c r="Z39" i="22" s="1"/>
  <c r="AD27" i="22"/>
  <c r="X26" i="22"/>
  <c r="Z26" i="22" s="1"/>
  <c r="X23" i="22"/>
  <c r="Z23" i="22" s="1"/>
  <c r="X10" i="22"/>
  <c r="X7" i="22"/>
  <c r="Z7" i="22" s="1"/>
  <c r="Z42" i="23"/>
  <c r="S23" i="23"/>
  <c r="X23" i="23" s="1"/>
  <c r="Y23" i="23" s="1"/>
  <c r="U23" i="23"/>
  <c r="W23" i="23" s="1"/>
  <c r="U20" i="23"/>
  <c r="W20" i="23" s="1"/>
  <c r="W46" i="25"/>
  <c r="Z46" i="25" s="1"/>
  <c r="V46" i="25"/>
  <c r="AA46" i="25" s="1"/>
  <c r="AB46" i="25" s="1"/>
  <c r="AC46" i="25" s="1"/>
  <c r="V27" i="25"/>
  <c r="AA27" i="25" s="1"/>
  <c r="AB27" i="25" s="1"/>
  <c r="AC27" i="25" s="1"/>
  <c r="W27" i="25"/>
  <c r="Z27" i="25" s="1"/>
  <c r="V21" i="22"/>
  <c r="W21" i="22"/>
  <c r="Z21" i="22" s="1"/>
  <c r="AA14" i="22"/>
  <c r="AB14" i="22" s="1"/>
  <c r="AC14" i="22" s="1"/>
  <c r="V5" i="22"/>
  <c r="W5" i="22"/>
  <c r="Z5" i="22" s="1"/>
  <c r="V45" i="22"/>
  <c r="W45" i="22"/>
  <c r="Z45" i="22" s="1"/>
  <c r="V29" i="22"/>
  <c r="W29" i="22"/>
  <c r="Z29" i="22" s="1"/>
  <c r="AD6" i="22"/>
  <c r="S22" i="23"/>
  <c r="X22" i="23" s="1"/>
  <c r="Y22" i="23" s="1"/>
  <c r="T22" i="23"/>
  <c r="W22" i="23" s="1"/>
  <c r="AD20" i="24"/>
  <c r="W46" i="24"/>
  <c r="Z46" i="24" s="1"/>
  <c r="V46" i="24"/>
  <c r="AA46" i="24" s="1"/>
  <c r="AB46" i="24" s="1"/>
  <c r="AC46" i="24" s="1"/>
  <c r="AD45" i="24"/>
  <c r="X41" i="22"/>
  <c r="Z41" i="22" s="1"/>
  <c r="V52" i="22"/>
  <c r="W52" i="22"/>
  <c r="Z52" i="22" s="1"/>
  <c r="Z42" i="22"/>
  <c r="V40" i="22"/>
  <c r="V36" i="22"/>
  <c r="W36" i="22"/>
  <c r="Z36" i="22" s="1"/>
  <c r="V24" i="22"/>
  <c r="V20" i="22"/>
  <c r="W20" i="22"/>
  <c r="Z20" i="22" s="1"/>
  <c r="Z10" i="22"/>
  <c r="V8" i="22"/>
  <c r="V4" i="22"/>
  <c r="W4" i="22"/>
  <c r="Z4" i="22" s="1"/>
  <c r="W32" i="23"/>
  <c r="V42" i="24"/>
  <c r="AA42" i="24" s="1"/>
  <c r="AB42" i="24" s="1"/>
  <c r="AC42" i="24" s="1"/>
  <c r="W42" i="24"/>
  <c r="Z42" i="24" s="1"/>
  <c r="V27" i="24"/>
  <c r="AA27" i="24" s="1"/>
  <c r="AB27" i="24" s="1"/>
  <c r="AC27" i="24" s="1"/>
  <c r="V19" i="24"/>
  <c r="AA19" i="24" s="1"/>
  <c r="AB19" i="24" s="1"/>
  <c r="AC19" i="24" s="1"/>
  <c r="AD45" i="25"/>
  <c r="V10" i="25"/>
  <c r="AA10" i="25" s="1"/>
  <c r="AB10" i="25" s="1"/>
  <c r="AC10" i="25" s="1"/>
  <c r="X10" i="25"/>
  <c r="Z10" i="25" s="1"/>
  <c r="AA46" i="22"/>
  <c r="AB46" i="22" s="1"/>
  <c r="AC46" i="22" s="1"/>
  <c r="AD30" i="22"/>
  <c r="Z34" i="23"/>
  <c r="AA51" i="22"/>
  <c r="AB51" i="22" s="1"/>
  <c r="AC51" i="22" s="1"/>
  <c r="AD38" i="22"/>
  <c r="S14" i="23"/>
  <c r="X14" i="23" s="1"/>
  <c r="Y14" i="23" s="1"/>
  <c r="T14" i="23"/>
  <c r="W14" i="23" s="1"/>
  <c r="AA11" i="22"/>
  <c r="AB11" i="22" s="1"/>
  <c r="AC11" i="22" s="1"/>
  <c r="W34" i="23"/>
  <c r="V29" i="24"/>
  <c r="AA29" i="24" s="1"/>
  <c r="AB29" i="24" s="1"/>
  <c r="AC29" i="24" s="1"/>
  <c r="W29" i="24"/>
  <c r="Z29" i="24" s="1"/>
  <c r="Z41" i="23"/>
  <c r="Z31" i="23"/>
  <c r="AD24" i="24"/>
  <c r="X42" i="22"/>
  <c r="AA45" i="22"/>
  <c r="AB45" i="22" s="1"/>
  <c r="AC45" i="22" s="1"/>
  <c r="AA29" i="22"/>
  <c r="AB29" i="22" s="1"/>
  <c r="AC29" i="22" s="1"/>
  <c r="AA13" i="22"/>
  <c r="AB13" i="22" s="1"/>
  <c r="AC13" i="22" s="1"/>
  <c r="S46" i="23"/>
  <c r="X46" i="23" s="1"/>
  <c r="Y46" i="23" s="1"/>
  <c r="T46" i="23"/>
  <c r="W46" i="23" s="1"/>
  <c r="W40" i="23"/>
  <c r="S24" i="23"/>
  <c r="X24" i="23" s="1"/>
  <c r="Y24" i="23" s="1"/>
  <c r="W5" i="23"/>
  <c r="V9" i="24"/>
  <c r="AA9" i="24" s="1"/>
  <c r="AB9" i="24" s="1"/>
  <c r="AC9" i="24" s="1"/>
  <c r="W9" i="24"/>
  <c r="Z9" i="24" s="1"/>
  <c r="Z37" i="25"/>
  <c r="Z14" i="25"/>
  <c r="Z46" i="23"/>
  <c r="S30" i="23"/>
  <c r="X30" i="23" s="1"/>
  <c r="Y30" i="23" s="1"/>
  <c r="T30" i="23"/>
  <c r="W30" i="23" s="1"/>
  <c r="AD46" i="24"/>
  <c r="V38" i="24"/>
  <c r="AA38" i="24" s="1"/>
  <c r="AB38" i="24" s="1"/>
  <c r="AC38" i="24" s="1"/>
  <c r="W38" i="24"/>
  <c r="Z38" i="24" s="1"/>
  <c r="AD37" i="24"/>
  <c r="V13" i="24"/>
  <c r="AA13" i="24" s="1"/>
  <c r="AB13" i="24" s="1"/>
  <c r="AC13" i="24" s="1"/>
  <c r="W13" i="24"/>
  <c r="Z13" i="24" s="1"/>
  <c r="Z35" i="24"/>
  <c r="W19" i="24"/>
  <c r="Z19" i="24" s="1"/>
  <c r="V31" i="25"/>
  <c r="AA31" i="25" s="1"/>
  <c r="AB31" i="25" s="1"/>
  <c r="AC31" i="25" s="1"/>
  <c r="W31" i="25"/>
  <c r="Z31" i="25" s="1"/>
  <c r="V50" i="24"/>
  <c r="AA50" i="24" s="1"/>
  <c r="AB50" i="24" s="1"/>
  <c r="AC50" i="24" s="1"/>
  <c r="Z48" i="25"/>
  <c r="V15" i="25"/>
  <c r="AA15" i="25" s="1"/>
  <c r="AB15" i="25" s="1"/>
  <c r="AC15" i="25" s="1"/>
  <c r="W15" i="25"/>
  <c r="Z15" i="25" s="1"/>
  <c r="S45" i="23"/>
  <c r="X45" i="23" s="1"/>
  <c r="Y45" i="23" s="1"/>
  <c r="T45" i="23"/>
  <c r="W45" i="23" s="1"/>
  <c r="S39" i="23"/>
  <c r="X39" i="23" s="1"/>
  <c r="Y39" i="23" s="1"/>
  <c r="V5" i="24"/>
  <c r="AA5" i="24" s="1"/>
  <c r="AB5" i="24" s="1"/>
  <c r="AC5" i="24" s="1"/>
  <c r="W5" i="24"/>
  <c r="Z5" i="24" s="1"/>
  <c r="Z6" i="25"/>
  <c r="W31" i="23"/>
  <c r="V30" i="24"/>
  <c r="AA30" i="24" s="1"/>
  <c r="AB30" i="24" s="1"/>
  <c r="AC30" i="24" s="1"/>
  <c r="W30" i="24"/>
  <c r="Z30" i="24" s="1"/>
  <c r="Z22" i="25"/>
  <c r="V14" i="24"/>
  <c r="AA14" i="24" s="1"/>
  <c r="AB14" i="24" s="1"/>
  <c r="AC14" i="24" s="1"/>
  <c r="W14" i="24"/>
  <c r="Z14" i="24" s="1"/>
  <c r="Z14" i="23"/>
  <c r="V42" i="25"/>
  <c r="AA42" i="25" s="1"/>
  <c r="AB42" i="25" s="1"/>
  <c r="AC42" i="25" s="1"/>
  <c r="V39" i="25"/>
  <c r="AA39" i="25" s="1"/>
  <c r="AB39" i="25" s="1"/>
  <c r="AC39" i="25" s="1"/>
  <c r="W39" i="25"/>
  <c r="Z39" i="25" s="1"/>
  <c r="S12" i="23"/>
  <c r="X12" i="23" s="1"/>
  <c r="Y12" i="23" s="1"/>
  <c r="T12" i="23"/>
  <c r="W12" i="23" s="1"/>
  <c r="Z24" i="25"/>
  <c r="T43" i="23"/>
  <c r="W43" i="23" s="1"/>
  <c r="T27" i="23"/>
  <c r="W27" i="23" s="1"/>
  <c r="T11" i="23"/>
  <c r="W11" i="23" s="1"/>
  <c r="W39" i="24"/>
  <c r="Z39" i="24" s="1"/>
  <c r="W32" i="25"/>
  <c r="Z32" i="25" s="1"/>
  <c r="W16" i="25"/>
  <c r="Z16" i="25" s="1"/>
  <c r="W8" i="25"/>
  <c r="Z8" i="25" s="1"/>
  <c r="AD4" i="20"/>
  <c r="AD5" i="20"/>
  <c r="AD6" i="20"/>
  <c r="AD4" i="19"/>
  <c r="AD5" i="19"/>
  <c r="AD6" i="19"/>
  <c r="AD3" i="19"/>
  <c r="G24" i="17"/>
  <c r="G25" i="17"/>
  <c r="G26" i="17"/>
  <c r="G27" i="17"/>
  <c r="G28" i="17"/>
  <c r="G29" i="17"/>
  <c r="G30" i="17"/>
  <c r="G23" i="17"/>
  <c r="G18" i="17"/>
  <c r="G19" i="17"/>
  <c r="G20" i="17"/>
  <c r="G21" i="17"/>
  <c r="G22" i="17"/>
  <c r="G17" i="17"/>
  <c r="G16" i="17"/>
  <c r="G12" i="17"/>
  <c r="G10" i="17"/>
  <c r="G11" i="17"/>
  <c r="G13" i="17"/>
  <c r="G14" i="17"/>
  <c r="G15" i="17"/>
  <c r="G9" i="17"/>
  <c r="G4" i="17"/>
  <c r="G5" i="17"/>
  <c r="G6" i="17"/>
  <c r="G7" i="17"/>
  <c r="G8" i="17"/>
  <c r="G3" i="17"/>
  <c r="G17" i="16"/>
  <c r="G18" i="16"/>
  <c r="G19" i="16"/>
  <c r="G20" i="16"/>
  <c r="G21" i="16"/>
  <c r="G16" i="16"/>
  <c r="G9" i="16"/>
  <c r="G10" i="16"/>
  <c r="G11" i="16"/>
  <c r="G12" i="16"/>
  <c r="G13" i="16"/>
  <c r="G14" i="16"/>
  <c r="G15" i="16"/>
  <c r="G8" i="16"/>
  <c r="G23" i="16"/>
  <c r="G24" i="16"/>
  <c r="G25" i="16"/>
  <c r="G26" i="16"/>
  <c r="G27" i="16"/>
  <c r="G28" i="16"/>
  <c r="G29" i="16"/>
  <c r="G22" i="16"/>
  <c r="AD4" i="10"/>
  <c r="AD5" i="10"/>
  <c r="AD6" i="10"/>
  <c r="AD7" i="10"/>
  <c r="AD8" i="10"/>
  <c r="AD9" i="10"/>
  <c r="AD10" i="10"/>
  <c r="AD11" i="10"/>
  <c r="AD12" i="10"/>
  <c r="AD13" i="10"/>
  <c r="AD3" i="10"/>
  <c r="AD4" i="9"/>
  <c r="AD5" i="9"/>
  <c r="AD6" i="9"/>
  <c r="AD7" i="9"/>
  <c r="AD8" i="9"/>
  <c r="AD9" i="9"/>
  <c r="AD10" i="9"/>
  <c r="AD11" i="9"/>
  <c r="AD12" i="9"/>
  <c r="AD13" i="9"/>
  <c r="AD14" i="9"/>
  <c r="AD3" i="9"/>
  <c r="AD4" i="6"/>
  <c r="AD5" i="6"/>
  <c r="AD6" i="6"/>
  <c r="AD7" i="6"/>
  <c r="AD8" i="6"/>
  <c r="AD9" i="6"/>
  <c r="AD10" i="6"/>
  <c r="AD11" i="6"/>
  <c r="AD3" i="6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" i="8"/>
  <c r="Y4" i="7"/>
  <c r="Y5" i="7"/>
  <c r="Y6" i="7"/>
  <c r="Y7" i="7"/>
  <c r="Y8" i="7"/>
  <c r="Y9" i="7"/>
  <c r="Y10" i="7"/>
  <c r="Y11" i="7"/>
  <c r="Y12" i="7"/>
  <c r="Y13" i="7"/>
  <c r="Y14" i="7"/>
  <c r="Y15" i="7"/>
  <c r="Y16" i="7"/>
  <c r="Y17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" i="7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3" i="2"/>
  <c r="D16" i="17" l="1"/>
  <c r="D24" i="17"/>
  <c r="D25" i="17"/>
  <c r="D26" i="17"/>
  <c r="D27" i="17"/>
  <c r="D28" i="17"/>
  <c r="D29" i="17"/>
  <c r="D30" i="17"/>
  <c r="D23" i="17"/>
  <c r="D9" i="16"/>
  <c r="D10" i="16"/>
  <c r="D8" i="16"/>
  <c r="D12" i="16"/>
  <c r="D13" i="16"/>
  <c r="D14" i="16"/>
  <c r="D15" i="16"/>
  <c r="D11" i="16"/>
  <c r="D12" i="17"/>
  <c r="D10" i="17"/>
  <c r="D11" i="17"/>
  <c r="D13" i="17"/>
  <c r="D14" i="17"/>
  <c r="D15" i="17"/>
  <c r="D9" i="17"/>
  <c r="D23" i="16"/>
  <c r="D24" i="16"/>
  <c r="D25" i="16"/>
  <c r="D26" i="16"/>
  <c r="D27" i="16"/>
  <c r="D28" i="16"/>
  <c r="D29" i="16"/>
  <c r="D22" i="16"/>
  <c r="D17" i="16"/>
  <c r="D18" i="16"/>
  <c r="D19" i="16"/>
  <c r="D20" i="16"/>
  <c r="D21" i="16"/>
  <c r="D16" i="16"/>
  <c r="D4" i="16"/>
  <c r="D5" i="16"/>
  <c r="D6" i="16"/>
  <c r="D7" i="16"/>
  <c r="D3" i="16"/>
  <c r="D17" i="17"/>
  <c r="D18" i="17"/>
  <c r="D19" i="17"/>
  <c r="D20" i="17"/>
  <c r="D21" i="17"/>
  <c r="D22" i="17"/>
  <c r="D4" i="17"/>
  <c r="D5" i="17"/>
  <c r="D6" i="17"/>
  <c r="D7" i="17"/>
  <c r="D8" i="17"/>
  <c r="D3" i="17"/>
  <c r="J3" i="21" l="1"/>
  <c r="K3" i="21"/>
  <c r="L3" i="21"/>
  <c r="N3" i="21"/>
  <c r="O3" i="21"/>
  <c r="Q3" i="21"/>
  <c r="R3" i="21"/>
  <c r="T3" i="21"/>
  <c r="U3" i="21"/>
  <c r="V3" i="21"/>
  <c r="J4" i="21"/>
  <c r="K4" i="21"/>
  <c r="L4" i="21"/>
  <c r="N4" i="21"/>
  <c r="O4" i="21"/>
  <c r="Q4" i="21"/>
  <c r="U4" i="21" s="1"/>
  <c r="R4" i="21"/>
  <c r="V4" i="21"/>
  <c r="J5" i="21"/>
  <c r="K5" i="21"/>
  <c r="L5" i="21"/>
  <c r="N5" i="21"/>
  <c r="O5" i="21"/>
  <c r="Q5" i="21"/>
  <c r="U5" i="21" s="1"/>
  <c r="R5" i="21"/>
  <c r="V5" i="21" s="1"/>
  <c r="E3" i="20"/>
  <c r="H3" i="20"/>
  <c r="T3" i="20" s="1"/>
  <c r="X3" i="20" s="1"/>
  <c r="K3" i="20"/>
  <c r="U3" i="20" s="1"/>
  <c r="Y3" i="20" s="1"/>
  <c r="M3" i="20"/>
  <c r="O3" i="20"/>
  <c r="P3" i="20"/>
  <c r="R3" i="20"/>
  <c r="E4" i="20"/>
  <c r="H4" i="20"/>
  <c r="T4" i="20" s="1"/>
  <c r="X4" i="20" s="1"/>
  <c r="K4" i="20"/>
  <c r="M4" i="20"/>
  <c r="O4" i="20"/>
  <c r="P4" i="20"/>
  <c r="R4" i="20"/>
  <c r="U4" i="20"/>
  <c r="Y4" i="20"/>
  <c r="E5" i="20"/>
  <c r="S5" i="20" s="1"/>
  <c r="H5" i="20"/>
  <c r="T5" i="20" s="1"/>
  <c r="X5" i="20" s="1"/>
  <c r="K5" i="20"/>
  <c r="U5" i="20" s="1"/>
  <c r="Y5" i="20" s="1"/>
  <c r="M5" i="20"/>
  <c r="O5" i="20"/>
  <c r="P5" i="20"/>
  <c r="R5" i="20"/>
  <c r="E6" i="20"/>
  <c r="H6" i="20"/>
  <c r="T6" i="20" s="1"/>
  <c r="X6" i="20" s="1"/>
  <c r="K6" i="20"/>
  <c r="U6" i="20" s="1"/>
  <c r="Y6" i="20" s="1"/>
  <c r="M6" i="20"/>
  <c r="N6" i="20"/>
  <c r="O6" i="20"/>
  <c r="P6" i="20"/>
  <c r="Q6" i="20"/>
  <c r="R6" i="20"/>
  <c r="S6" i="20"/>
  <c r="V6" i="20" s="1"/>
  <c r="AA6" i="20" s="1"/>
  <c r="AB6" i="20" s="1"/>
  <c r="AC6" i="20" s="1"/>
  <c r="M3" i="19"/>
  <c r="N3" i="19"/>
  <c r="O3" i="19"/>
  <c r="P3" i="19"/>
  <c r="Q3" i="19"/>
  <c r="R3" i="19"/>
  <c r="S3" i="19"/>
  <c r="T3" i="19"/>
  <c r="U3" i="19"/>
  <c r="V3" i="19"/>
  <c r="W3" i="19"/>
  <c r="X3" i="19"/>
  <c r="Y3" i="19"/>
  <c r="M4" i="19"/>
  <c r="N4" i="19"/>
  <c r="O4" i="19"/>
  <c r="P4" i="19"/>
  <c r="Q4" i="19"/>
  <c r="R4" i="19"/>
  <c r="S4" i="19"/>
  <c r="W4" i="19" s="1"/>
  <c r="Z4" i="19" s="1"/>
  <c r="T4" i="19"/>
  <c r="U4" i="19"/>
  <c r="X4" i="19"/>
  <c r="Y4" i="19"/>
  <c r="M5" i="19"/>
  <c r="N5" i="19"/>
  <c r="O5" i="19"/>
  <c r="P5" i="19"/>
  <c r="Q5" i="19"/>
  <c r="R5" i="19"/>
  <c r="S5" i="19"/>
  <c r="T5" i="19"/>
  <c r="X5" i="19" s="1"/>
  <c r="U5" i="19"/>
  <c r="Y5" i="19" s="1"/>
  <c r="W5" i="19"/>
  <c r="Z5" i="19" s="1"/>
  <c r="M6" i="19"/>
  <c r="N6" i="19"/>
  <c r="O6" i="19"/>
  <c r="P6" i="19"/>
  <c r="Q6" i="19"/>
  <c r="R6" i="19"/>
  <c r="S6" i="19"/>
  <c r="T6" i="19"/>
  <c r="X6" i="19" s="1"/>
  <c r="U6" i="19"/>
  <c r="Y6" i="19"/>
  <c r="A32" i="16"/>
  <c r="E7" i="17"/>
  <c r="F7" i="17" s="1"/>
  <c r="E30" i="17"/>
  <c r="F30" i="17" s="1"/>
  <c r="E29" i="17"/>
  <c r="F29" i="17" s="1"/>
  <c r="E28" i="17"/>
  <c r="F28" i="17" s="1"/>
  <c r="E27" i="17"/>
  <c r="F27" i="17" s="1"/>
  <c r="E26" i="17"/>
  <c r="F26" i="17" s="1"/>
  <c r="E25" i="17"/>
  <c r="F25" i="17" s="1"/>
  <c r="E24" i="17"/>
  <c r="F24" i="17" s="1"/>
  <c r="E23" i="17"/>
  <c r="F23" i="17" s="1"/>
  <c r="E22" i="17"/>
  <c r="F22" i="17" s="1"/>
  <c r="E21" i="17"/>
  <c r="F21" i="17" s="1"/>
  <c r="E20" i="17"/>
  <c r="F20" i="17" s="1"/>
  <c r="E19" i="17"/>
  <c r="F19" i="17" s="1"/>
  <c r="E18" i="17"/>
  <c r="F18" i="17" s="1"/>
  <c r="E17" i="17"/>
  <c r="F17" i="17" s="1"/>
  <c r="E16" i="17"/>
  <c r="F16" i="17" s="1"/>
  <c r="E15" i="17"/>
  <c r="F15" i="17" s="1"/>
  <c r="E14" i="17"/>
  <c r="F14" i="17" s="1"/>
  <c r="E13" i="17"/>
  <c r="F13" i="17" s="1"/>
  <c r="E12" i="17"/>
  <c r="F12" i="17" s="1"/>
  <c r="E11" i="17"/>
  <c r="F11" i="17" s="1"/>
  <c r="E10" i="17"/>
  <c r="F10" i="17" s="1"/>
  <c r="E9" i="17"/>
  <c r="F9" i="17" s="1"/>
  <c r="E8" i="17"/>
  <c r="F8" i="17" s="1"/>
  <c r="E6" i="17"/>
  <c r="F6" i="17" s="1"/>
  <c r="E5" i="17"/>
  <c r="F5" i="17" s="1"/>
  <c r="E4" i="17"/>
  <c r="F4" i="17" s="1"/>
  <c r="E3" i="17"/>
  <c r="F3" i="17" s="1"/>
  <c r="E22" i="16"/>
  <c r="F22" i="16" s="1"/>
  <c r="E23" i="16"/>
  <c r="F23" i="16" s="1"/>
  <c r="E24" i="16"/>
  <c r="F24" i="16" s="1"/>
  <c r="E25" i="16"/>
  <c r="F25" i="16" s="1"/>
  <c r="E26" i="16"/>
  <c r="F26" i="16" s="1"/>
  <c r="E27" i="16"/>
  <c r="F27" i="16" s="1"/>
  <c r="E28" i="16"/>
  <c r="F28" i="16" s="1"/>
  <c r="E29" i="16"/>
  <c r="F29" i="16" s="1"/>
  <c r="E16" i="16"/>
  <c r="F16" i="16" s="1"/>
  <c r="E17" i="16"/>
  <c r="F17" i="16" s="1"/>
  <c r="E18" i="16"/>
  <c r="F18" i="16" s="1"/>
  <c r="E19" i="16"/>
  <c r="F19" i="16" s="1"/>
  <c r="E20" i="16"/>
  <c r="F20" i="16" s="1"/>
  <c r="E21" i="16"/>
  <c r="F21" i="16" s="1"/>
  <c r="E15" i="16"/>
  <c r="F15" i="16" s="1"/>
  <c r="E3" i="16"/>
  <c r="F3" i="16" s="1"/>
  <c r="E12" i="16"/>
  <c r="F12" i="16" s="1"/>
  <c r="E10" i="16"/>
  <c r="F10" i="16" s="1"/>
  <c r="E9" i="16"/>
  <c r="F9" i="16" s="1"/>
  <c r="E8" i="16"/>
  <c r="F8" i="16" s="1"/>
  <c r="E6" i="16"/>
  <c r="F6" i="16" s="1"/>
  <c r="E5" i="16"/>
  <c r="F5" i="16" s="1"/>
  <c r="E4" i="16"/>
  <c r="F4" i="16" s="1"/>
  <c r="U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S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M4" i="8"/>
  <c r="N4" i="8"/>
  <c r="O4" i="8"/>
  <c r="M5" i="8"/>
  <c r="N5" i="8"/>
  <c r="O5" i="8"/>
  <c r="M6" i="8"/>
  <c r="N6" i="8"/>
  <c r="O6" i="8"/>
  <c r="M7" i="8"/>
  <c r="N7" i="8"/>
  <c r="O7" i="8"/>
  <c r="M8" i="8"/>
  <c r="N8" i="8"/>
  <c r="O8" i="8"/>
  <c r="M9" i="8"/>
  <c r="N9" i="8"/>
  <c r="O9" i="8"/>
  <c r="M10" i="8"/>
  <c r="N10" i="8"/>
  <c r="O10" i="8"/>
  <c r="M11" i="8"/>
  <c r="N11" i="8"/>
  <c r="O11" i="8"/>
  <c r="M12" i="8"/>
  <c r="N12" i="8"/>
  <c r="O12" i="8"/>
  <c r="M13" i="8"/>
  <c r="N13" i="8"/>
  <c r="O13" i="8"/>
  <c r="M14" i="8"/>
  <c r="N14" i="8"/>
  <c r="O14" i="8"/>
  <c r="M15" i="8"/>
  <c r="N15" i="8"/>
  <c r="O15" i="8"/>
  <c r="M16" i="8"/>
  <c r="N16" i="8"/>
  <c r="O16" i="8"/>
  <c r="M17" i="8"/>
  <c r="N17" i="8"/>
  <c r="O17" i="8"/>
  <c r="M18" i="8"/>
  <c r="N18" i="8"/>
  <c r="O18" i="8"/>
  <c r="M19" i="8"/>
  <c r="N19" i="8"/>
  <c r="O19" i="8"/>
  <c r="M20" i="8"/>
  <c r="N20" i="8"/>
  <c r="O20" i="8"/>
  <c r="M21" i="8"/>
  <c r="N21" i="8"/>
  <c r="O21" i="8"/>
  <c r="M22" i="8"/>
  <c r="N22" i="8"/>
  <c r="O22" i="8"/>
  <c r="M23" i="8"/>
  <c r="N23" i="8"/>
  <c r="O23" i="8"/>
  <c r="M24" i="8"/>
  <c r="N24" i="8"/>
  <c r="O24" i="8"/>
  <c r="M25" i="8"/>
  <c r="N25" i="8"/>
  <c r="O25" i="8"/>
  <c r="M26" i="8"/>
  <c r="N26" i="8"/>
  <c r="O26" i="8"/>
  <c r="M27" i="8"/>
  <c r="N27" i="8"/>
  <c r="O27" i="8"/>
  <c r="M28" i="8"/>
  <c r="N28" i="8"/>
  <c r="O28" i="8"/>
  <c r="M29" i="8"/>
  <c r="N29" i="8"/>
  <c r="O29" i="8"/>
  <c r="M30" i="8"/>
  <c r="N30" i="8"/>
  <c r="O30" i="8"/>
  <c r="O3" i="8"/>
  <c r="N3" i="8"/>
  <c r="M3" i="8"/>
  <c r="K13" i="2"/>
  <c r="J13" i="2"/>
  <c r="K12" i="2"/>
  <c r="J12" i="2"/>
  <c r="K11" i="2"/>
  <c r="J11" i="2"/>
  <c r="K6" i="2"/>
  <c r="J6" i="2"/>
  <c r="L6" i="2"/>
  <c r="M6" i="2"/>
  <c r="N6" i="2"/>
  <c r="S6" i="2" s="1"/>
  <c r="P6" i="2"/>
  <c r="T6" i="2" s="1"/>
  <c r="Q6" i="2"/>
  <c r="U6" i="2" s="1"/>
  <c r="K5" i="9"/>
  <c r="H5" i="9"/>
  <c r="E5" i="9"/>
  <c r="S4" i="21" l="1"/>
  <c r="X4" i="21" s="1"/>
  <c r="Y4" i="21" s="1"/>
  <c r="V6" i="19"/>
  <c r="V5" i="19"/>
  <c r="S5" i="21"/>
  <c r="X5" i="21" s="1"/>
  <c r="Y5" i="21" s="1"/>
  <c r="V12" i="8"/>
  <c r="V28" i="8"/>
  <c r="V27" i="8"/>
  <c r="V29" i="8"/>
  <c r="V10" i="8"/>
  <c r="V25" i="8"/>
  <c r="V9" i="8"/>
  <c r="V4" i="19"/>
  <c r="W3" i="21"/>
  <c r="Z3" i="19"/>
  <c r="V26" i="8"/>
  <c r="Q5" i="20"/>
  <c r="V5" i="20"/>
  <c r="AA5" i="20" s="1"/>
  <c r="AB5" i="20" s="1"/>
  <c r="AC5" i="20" s="1"/>
  <c r="W5" i="20"/>
  <c r="Z5" i="20" s="1"/>
  <c r="N5" i="20"/>
  <c r="V24" i="8"/>
  <c r="V8" i="8"/>
  <c r="AA5" i="19"/>
  <c r="AB5" i="19" s="1"/>
  <c r="AC5" i="19" s="1"/>
  <c r="N3" i="20"/>
  <c r="Q3" i="20"/>
  <c r="V19" i="8"/>
  <c r="Q4" i="20"/>
  <c r="S3" i="21"/>
  <c r="X3" i="21" s="1"/>
  <c r="Y3" i="21" s="1"/>
  <c r="AA6" i="19"/>
  <c r="AB6" i="19" s="1"/>
  <c r="AC6" i="19" s="1"/>
  <c r="T4" i="21"/>
  <c r="W4" i="21" s="1"/>
  <c r="AA4" i="19"/>
  <c r="AB4" i="19" s="1"/>
  <c r="AC4" i="19" s="1"/>
  <c r="W6" i="19"/>
  <c r="Z6" i="19" s="1"/>
  <c r="V4" i="8"/>
  <c r="T5" i="21"/>
  <c r="W5" i="21" s="1"/>
  <c r="AA3" i="19"/>
  <c r="AB3" i="19" s="1"/>
  <c r="AC3" i="19" s="1"/>
  <c r="V23" i="8"/>
  <c r="V22" i="8"/>
  <c r="V13" i="8"/>
  <c r="V21" i="8"/>
  <c r="V5" i="8"/>
  <c r="V20" i="8"/>
  <c r="V14" i="8"/>
  <c r="S4" i="20"/>
  <c r="W6" i="20"/>
  <c r="Z6" i="20" s="1"/>
  <c r="S3" i="20"/>
  <c r="N4" i="20"/>
  <c r="V30" i="8"/>
  <c r="V11" i="8"/>
  <c r="V7" i="8"/>
  <c r="V6" i="8"/>
  <c r="V18" i="8"/>
  <c r="V17" i="8"/>
  <c r="V15" i="8"/>
  <c r="V16" i="8"/>
  <c r="E13" i="16"/>
  <c r="F13" i="16" s="1"/>
  <c r="E11" i="16"/>
  <c r="F11" i="16" s="1"/>
  <c r="E7" i="16"/>
  <c r="F7" i="16" s="1"/>
  <c r="E14" i="16"/>
  <c r="F14" i="16" s="1"/>
  <c r="V6" i="2"/>
  <c r="R6" i="2"/>
  <c r="W6" i="2" s="1"/>
  <c r="X6" i="2" s="1"/>
  <c r="V4" i="20" l="1"/>
  <c r="AA4" i="20" s="1"/>
  <c r="AB4" i="20" s="1"/>
  <c r="AC4" i="20" s="1"/>
  <c r="W4" i="20"/>
  <c r="Z4" i="20" s="1"/>
  <c r="V3" i="20"/>
  <c r="AA3" i="20" s="1"/>
  <c r="AB3" i="20" s="1"/>
  <c r="AC3" i="20" s="1"/>
  <c r="W3" i="20"/>
  <c r="Z3" i="20" s="1"/>
  <c r="O13" i="10" l="1"/>
  <c r="R13" i="10"/>
  <c r="U13" i="10"/>
  <c r="T13" i="10"/>
  <c r="X13" i="10"/>
  <c r="S13" i="10"/>
  <c r="W13" i="10" s="1"/>
  <c r="N13" i="10"/>
  <c r="Q13" i="10"/>
  <c r="M13" i="10"/>
  <c r="P13" i="10"/>
  <c r="O12" i="10"/>
  <c r="R12" i="10"/>
  <c r="U12" i="10"/>
  <c r="Y12" i="10" s="1"/>
  <c r="T12" i="10"/>
  <c r="X12" i="10"/>
  <c r="S12" i="10"/>
  <c r="V12" i="10" s="1"/>
  <c r="AA12" i="10" s="1"/>
  <c r="AB12" i="10" s="1"/>
  <c r="AC12" i="10" s="1"/>
  <c r="W12" i="10"/>
  <c r="N12" i="10"/>
  <c r="Q12" i="10"/>
  <c r="M12" i="10"/>
  <c r="P12" i="10"/>
  <c r="U11" i="10"/>
  <c r="Y11" i="10" s="1"/>
  <c r="T11" i="10"/>
  <c r="X11" i="10" s="1"/>
  <c r="S11" i="10"/>
  <c r="W11" i="10" s="1"/>
  <c r="R11" i="10"/>
  <c r="Q11" i="10"/>
  <c r="P11" i="10"/>
  <c r="O11" i="10"/>
  <c r="N11" i="10"/>
  <c r="M11" i="10"/>
  <c r="U10" i="10"/>
  <c r="Y10" i="10" s="1"/>
  <c r="T10" i="10"/>
  <c r="X10" i="10" s="1"/>
  <c r="S10" i="10"/>
  <c r="W10" i="10" s="1"/>
  <c r="R10" i="10"/>
  <c r="Q10" i="10"/>
  <c r="P10" i="10"/>
  <c r="O10" i="10"/>
  <c r="N10" i="10"/>
  <c r="M10" i="10"/>
  <c r="U9" i="10"/>
  <c r="Y9" i="10" s="1"/>
  <c r="T9" i="10"/>
  <c r="X9" i="10" s="1"/>
  <c r="S9" i="10"/>
  <c r="W9" i="10" s="1"/>
  <c r="R9" i="10"/>
  <c r="Q9" i="10"/>
  <c r="P9" i="10"/>
  <c r="O9" i="10"/>
  <c r="N9" i="10"/>
  <c r="M9" i="10"/>
  <c r="U8" i="10"/>
  <c r="Y8" i="10" s="1"/>
  <c r="T8" i="10"/>
  <c r="X8" i="10" s="1"/>
  <c r="S8" i="10"/>
  <c r="R8" i="10"/>
  <c r="Q8" i="10"/>
  <c r="P8" i="10"/>
  <c r="O8" i="10"/>
  <c r="N8" i="10"/>
  <c r="M8" i="10"/>
  <c r="U7" i="10"/>
  <c r="Y7" i="10" s="1"/>
  <c r="T7" i="10"/>
  <c r="X7" i="10" s="1"/>
  <c r="S7" i="10"/>
  <c r="W7" i="10" s="1"/>
  <c r="R7" i="10"/>
  <c r="Q7" i="10"/>
  <c r="P7" i="10"/>
  <c r="O7" i="10"/>
  <c r="N7" i="10"/>
  <c r="M7" i="10"/>
  <c r="U6" i="10"/>
  <c r="Y6" i="10" s="1"/>
  <c r="T6" i="10"/>
  <c r="X6" i="10" s="1"/>
  <c r="S6" i="10"/>
  <c r="W6" i="10" s="1"/>
  <c r="R6" i="10"/>
  <c r="Q6" i="10"/>
  <c r="P6" i="10"/>
  <c r="O6" i="10"/>
  <c r="N6" i="10"/>
  <c r="M6" i="10"/>
  <c r="U5" i="10"/>
  <c r="Y5" i="10" s="1"/>
  <c r="T5" i="10"/>
  <c r="X5" i="10" s="1"/>
  <c r="S5" i="10"/>
  <c r="W5" i="10" s="1"/>
  <c r="R5" i="10"/>
  <c r="Q5" i="10"/>
  <c r="P5" i="10"/>
  <c r="O5" i="10"/>
  <c r="N5" i="10"/>
  <c r="M5" i="10"/>
  <c r="U4" i="10"/>
  <c r="Y4" i="10" s="1"/>
  <c r="T4" i="10"/>
  <c r="X4" i="10" s="1"/>
  <c r="S4" i="10"/>
  <c r="W4" i="10" s="1"/>
  <c r="R4" i="10"/>
  <c r="Q4" i="10"/>
  <c r="P4" i="10"/>
  <c r="O4" i="10"/>
  <c r="N4" i="10"/>
  <c r="M4" i="10"/>
  <c r="U3" i="10"/>
  <c r="Y3" i="10" s="1"/>
  <c r="T3" i="10"/>
  <c r="X3" i="10" s="1"/>
  <c r="S3" i="10"/>
  <c r="W3" i="10" s="1"/>
  <c r="R3" i="10"/>
  <c r="Q3" i="10"/>
  <c r="P3" i="10"/>
  <c r="O3" i="10"/>
  <c r="N3" i="10"/>
  <c r="M3" i="10"/>
  <c r="S5" i="9"/>
  <c r="K14" i="9"/>
  <c r="U14" i="9" s="1"/>
  <c r="Y14" i="9" s="1"/>
  <c r="K13" i="9"/>
  <c r="K12" i="9"/>
  <c r="U12" i="9" s="1"/>
  <c r="Y12" i="9" s="1"/>
  <c r="K11" i="9"/>
  <c r="U11" i="9" s="1"/>
  <c r="Y11" i="9" s="1"/>
  <c r="K10" i="9"/>
  <c r="U10" i="9" s="1"/>
  <c r="Y10" i="9" s="1"/>
  <c r="K9" i="9"/>
  <c r="U9" i="9" s="1"/>
  <c r="Y9" i="9" s="1"/>
  <c r="K8" i="9"/>
  <c r="U8" i="9" s="1"/>
  <c r="Y8" i="9" s="1"/>
  <c r="K7" i="9"/>
  <c r="U7" i="9" s="1"/>
  <c r="Y7" i="9" s="1"/>
  <c r="K6" i="9"/>
  <c r="U6" i="9" s="1"/>
  <c r="Y6" i="9" s="1"/>
  <c r="K4" i="9"/>
  <c r="U4" i="9" s="1"/>
  <c r="Y4" i="9" s="1"/>
  <c r="K3" i="9"/>
  <c r="U3" i="9" s="1"/>
  <c r="Y3" i="9" s="1"/>
  <c r="H14" i="9"/>
  <c r="T14" i="9" s="1"/>
  <c r="X14" i="9" s="1"/>
  <c r="H13" i="9"/>
  <c r="H12" i="9"/>
  <c r="T12" i="9" s="1"/>
  <c r="X12" i="9" s="1"/>
  <c r="H11" i="9"/>
  <c r="T11" i="9" s="1"/>
  <c r="X11" i="9" s="1"/>
  <c r="H10" i="9"/>
  <c r="T10" i="9" s="1"/>
  <c r="X10" i="9" s="1"/>
  <c r="H9" i="9"/>
  <c r="T9" i="9" s="1"/>
  <c r="X9" i="9" s="1"/>
  <c r="H8" i="9"/>
  <c r="T8" i="9" s="1"/>
  <c r="X8" i="9" s="1"/>
  <c r="H7" i="9"/>
  <c r="T7" i="9" s="1"/>
  <c r="X7" i="9" s="1"/>
  <c r="H6" i="9"/>
  <c r="T6" i="9" s="1"/>
  <c r="X6" i="9" s="1"/>
  <c r="H4" i="9"/>
  <c r="T4" i="9" s="1"/>
  <c r="X4" i="9" s="1"/>
  <c r="H3" i="9"/>
  <c r="T3" i="9" s="1"/>
  <c r="X3" i="9" s="1"/>
  <c r="E11" i="9"/>
  <c r="E12" i="9"/>
  <c r="S12" i="9" s="1"/>
  <c r="E13" i="9"/>
  <c r="S13" i="9" s="1"/>
  <c r="E14" i="9"/>
  <c r="S14" i="9" s="1"/>
  <c r="W14" i="9" s="1"/>
  <c r="E10" i="9"/>
  <c r="S10" i="9" s="1"/>
  <c r="W10" i="9" s="1"/>
  <c r="E9" i="9"/>
  <c r="S9" i="9" s="1"/>
  <c r="E8" i="9"/>
  <c r="S8" i="9" s="1"/>
  <c r="W8" i="9" s="1"/>
  <c r="E7" i="9"/>
  <c r="S7" i="9" s="1"/>
  <c r="E6" i="9"/>
  <c r="S6" i="9" s="1"/>
  <c r="W6" i="9" s="1"/>
  <c r="E4" i="9"/>
  <c r="S4" i="9" s="1"/>
  <c r="W4" i="9" s="1"/>
  <c r="E3" i="9"/>
  <c r="M12" i="9"/>
  <c r="O12" i="9"/>
  <c r="P12" i="9"/>
  <c r="R12" i="9"/>
  <c r="M13" i="9"/>
  <c r="O13" i="9"/>
  <c r="P13" i="9"/>
  <c r="R13" i="9"/>
  <c r="M14" i="9"/>
  <c r="O14" i="9"/>
  <c r="P14" i="9"/>
  <c r="R14" i="9"/>
  <c r="R11" i="9"/>
  <c r="P11" i="9"/>
  <c r="O11" i="9"/>
  <c r="M11" i="9"/>
  <c r="R10" i="9"/>
  <c r="P10" i="9"/>
  <c r="O10" i="9"/>
  <c r="M10" i="9"/>
  <c r="R9" i="9"/>
  <c r="P9" i="9"/>
  <c r="O9" i="9"/>
  <c r="M9" i="9"/>
  <c r="R8" i="9"/>
  <c r="P8" i="9"/>
  <c r="O8" i="9"/>
  <c r="M8" i="9"/>
  <c r="R7" i="9"/>
  <c r="P7" i="9"/>
  <c r="O7" i="9"/>
  <c r="M7" i="9"/>
  <c r="R6" i="9"/>
  <c r="P6" i="9"/>
  <c r="O6" i="9"/>
  <c r="M6" i="9"/>
  <c r="T5" i="9"/>
  <c r="X5" i="9" s="1"/>
  <c r="R5" i="9"/>
  <c r="P5" i="9"/>
  <c r="O5" i="9"/>
  <c r="M5" i="9"/>
  <c r="U5" i="9"/>
  <c r="Y5" i="9" s="1"/>
  <c r="R4" i="9"/>
  <c r="P4" i="9"/>
  <c r="O4" i="9"/>
  <c r="M4" i="9"/>
  <c r="R3" i="9"/>
  <c r="P3" i="9"/>
  <c r="O3" i="9"/>
  <c r="M3" i="9"/>
  <c r="P10" i="8"/>
  <c r="R9" i="8"/>
  <c r="R7" i="8"/>
  <c r="Q8" i="8"/>
  <c r="P28" i="8"/>
  <c r="Q28" i="8"/>
  <c r="R28" i="8"/>
  <c r="X28" i="8"/>
  <c r="Y28" i="8"/>
  <c r="AA28" i="8"/>
  <c r="AB28" i="8" s="1"/>
  <c r="AC28" i="8" s="1"/>
  <c r="P29" i="8"/>
  <c r="Q29" i="8"/>
  <c r="R29" i="8"/>
  <c r="X29" i="8"/>
  <c r="Y29" i="8"/>
  <c r="AA29" i="8"/>
  <c r="AB29" i="8" s="1"/>
  <c r="AC29" i="8" s="1"/>
  <c r="AA30" i="8"/>
  <c r="AB30" i="8" s="1"/>
  <c r="AC30" i="8" s="1"/>
  <c r="P30" i="8"/>
  <c r="Q30" i="8"/>
  <c r="R30" i="8"/>
  <c r="X30" i="8"/>
  <c r="Y30" i="8"/>
  <c r="AA15" i="8"/>
  <c r="AB15" i="8" s="1"/>
  <c r="AC15" i="8" s="1"/>
  <c r="P15" i="8"/>
  <c r="Q15" i="8"/>
  <c r="R15" i="8"/>
  <c r="W15" i="8"/>
  <c r="Y15" i="8"/>
  <c r="P16" i="8"/>
  <c r="Q16" i="8"/>
  <c r="R16" i="8"/>
  <c r="X16" i="8"/>
  <c r="Y16" i="8"/>
  <c r="AA16" i="8"/>
  <c r="AB16" i="8" s="1"/>
  <c r="AC16" i="8" s="1"/>
  <c r="AA17" i="8"/>
  <c r="AB17" i="8" s="1"/>
  <c r="AC17" i="8" s="1"/>
  <c r="P17" i="8"/>
  <c r="Q17" i="8"/>
  <c r="R17" i="8"/>
  <c r="W17" i="8"/>
  <c r="Y17" i="8"/>
  <c r="AA18" i="8"/>
  <c r="AB18" i="8" s="1"/>
  <c r="AC18" i="8" s="1"/>
  <c r="P18" i="8"/>
  <c r="Q18" i="8"/>
  <c r="R18" i="8"/>
  <c r="W18" i="8"/>
  <c r="X18" i="8"/>
  <c r="Y18" i="8"/>
  <c r="AA19" i="8"/>
  <c r="AB19" i="8" s="1"/>
  <c r="AC19" i="8" s="1"/>
  <c r="P19" i="8"/>
  <c r="Q19" i="8"/>
  <c r="R19" i="8"/>
  <c r="W19" i="8"/>
  <c r="X19" i="8"/>
  <c r="Y19" i="8"/>
  <c r="AA20" i="8"/>
  <c r="AB20" i="8" s="1"/>
  <c r="AC20" i="8" s="1"/>
  <c r="P20" i="8"/>
  <c r="Q20" i="8"/>
  <c r="R20" i="8"/>
  <c r="W20" i="8"/>
  <c r="X20" i="8"/>
  <c r="Y20" i="8"/>
  <c r="AA21" i="8"/>
  <c r="AB21" i="8" s="1"/>
  <c r="AC21" i="8" s="1"/>
  <c r="P21" i="8"/>
  <c r="Q21" i="8"/>
  <c r="R21" i="8"/>
  <c r="W21" i="8"/>
  <c r="X21" i="8"/>
  <c r="Y21" i="8"/>
  <c r="AA22" i="8"/>
  <c r="AB22" i="8" s="1"/>
  <c r="AC22" i="8" s="1"/>
  <c r="P22" i="8"/>
  <c r="Q22" i="8"/>
  <c r="R22" i="8"/>
  <c r="X22" i="8"/>
  <c r="Y22" i="8"/>
  <c r="P23" i="8"/>
  <c r="Q23" i="8"/>
  <c r="R23" i="8"/>
  <c r="X23" i="8"/>
  <c r="Y23" i="8"/>
  <c r="AA23" i="8"/>
  <c r="AB23" i="8" s="1"/>
  <c r="AC23" i="8" s="1"/>
  <c r="P24" i="8"/>
  <c r="Q24" i="8"/>
  <c r="R24" i="8"/>
  <c r="X24" i="8"/>
  <c r="Y24" i="8"/>
  <c r="AA24" i="8"/>
  <c r="AB24" i="8" s="1"/>
  <c r="AC24" i="8" s="1"/>
  <c r="AA25" i="8"/>
  <c r="AB25" i="8" s="1"/>
  <c r="AC25" i="8" s="1"/>
  <c r="P25" i="8"/>
  <c r="Q25" i="8"/>
  <c r="R25" i="8"/>
  <c r="W25" i="8"/>
  <c r="X25" i="8"/>
  <c r="Y25" i="8"/>
  <c r="AA26" i="8"/>
  <c r="AB26" i="8" s="1"/>
  <c r="AC26" i="8" s="1"/>
  <c r="P26" i="8"/>
  <c r="Q26" i="8"/>
  <c r="R26" i="8"/>
  <c r="W26" i="8"/>
  <c r="X26" i="8"/>
  <c r="Y26" i="8"/>
  <c r="AA27" i="8"/>
  <c r="AB27" i="8" s="1"/>
  <c r="AC27" i="8" s="1"/>
  <c r="P27" i="8"/>
  <c r="Q27" i="8"/>
  <c r="R27" i="8"/>
  <c r="Y27" i="8"/>
  <c r="W27" i="8"/>
  <c r="AA14" i="8"/>
  <c r="AB14" i="8" s="1"/>
  <c r="Y14" i="8"/>
  <c r="X14" i="8"/>
  <c r="W14" i="8"/>
  <c r="R14" i="8"/>
  <c r="Q14" i="8"/>
  <c r="P14" i="8"/>
  <c r="Y13" i="8"/>
  <c r="X13" i="8"/>
  <c r="W13" i="8"/>
  <c r="R13" i="8"/>
  <c r="Q13" i="8"/>
  <c r="P13" i="8"/>
  <c r="AA13" i="8"/>
  <c r="AB13" i="8" s="1"/>
  <c r="AC13" i="8" s="1"/>
  <c r="Y12" i="8"/>
  <c r="X12" i="8"/>
  <c r="R12" i="8"/>
  <c r="Q12" i="8"/>
  <c r="P12" i="8"/>
  <c r="AA12" i="8"/>
  <c r="AB12" i="8" s="1"/>
  <c r="AC12" i="8" s="1"/>
  <c r="Y11" i="8"/>
  <c r="X11" i="8"/>
  <c r="W11" i="8"/>
  <c r="R11" i="8"/>
  <c r="Q11" i="8"/>
  <c r="P11" i="8"/>
  <c r="AA11" i="8"/>
  <c r="AB11" i="8" s="1"/>
  <c r="Y10" i="8"/>
  <c r="X10" i="8"/>
  <c r="R10" i="8"/>
  <c r="Q10" i="8"/>
  <c r="AA10" i="8"/>
  <c r="AB10" i="8" s="1"/>
  <c r="AC10" i="8" s="1"/>
  <c r="AA9" i="8"/>
  <c r="AB9" i="8" s="1"/>
  <c r="AC9" i="8" s="1"/>
  <c r="Y9" i="8"/>
  <c r="X9" i="8"/>
  <c r="W9" i="8"/>
  <c r="Q9" i="8"/>
  <c r="P9" i="8"/>
  <c r="AA8" i="8"/>
  <c r="AB8" i="8" s="1"/>
  <c r="Y8" i="8"/>
  <c r="X8" i="8"/>
  <c r="W8" i="8"/>
  <c r="R8" i="8"/>
  <c r="P8" i="8"/>
  <c r="Y7" i="8"/>
  <c r="X7" i="8"/>
  <c r="W7" i="8"/>
  <c r="Q7" i="8"/>
  <c r="P7" i="8"/>
  <c r="AA7" i="8"/>
  <c r="AB7" i="8" s="1"/>
  <c r="AC7" i="8" s="1"/>
  <c r="Y6" i="8"/>
  <c r="X6" i="8"/>
  <c r="W6" i="8"/>
  <c r="R6" i="8"/>
  <c r="Q6" i="8"/>
  <c r="P6" i="8"/>
  <c r="AA6" i="8"/>
  <c r="AB6" i="8" s="1"/>
  <c r="AC6" i="8" s="1"/>
  <c r="Y5" i="8"/>
  <c r="X5" i="8"/>
  <c r="W5" i="8"/>
  <c r="R5" i="8"/>
  <c r="Q5" i="8"/>
  <c r="P5" i="8"/>
  <c r="AA5" i="8"/>
  <c r="AB5" i="8" s="1"/>
  <c r="AC5" i="8" s="1"/>
  <c r="Y4" i="8"/>
  <c r="X4" i="8"/>
  <c r="W4" i="8"/>
  <c r="R4" i="8"/>
  <c r="Q4" i="8"/>
  <c r="P4" i="8"/>
  <c r="AA4" i="8"/>
  <c r="AB4" i="8" s="1"/>
  <c r="Y3" i="8"/>
  <c r="T3" i="8"/>
  <c r="X3" i="8" s="1"/>
  <c r="S3" i="8"/>
  <c r="W3" i="8" s="1"/>
  <c r="R3" i="8"/>
  <c r="Q3" i="8"/>
  <c r="P3" i="8"/>
  <c r="AA3" i="8"/>
  <c r="AB3" i="8" s="1"/>
  <c r="AC3" i="8" s="1"/>
  <c r="J20" i="7"/>
  <c r="K20" i="7"/>
  <c r="L20" i="7"/>
  <c r="M20" i="7"/>
  <c r="N20" i="7"/>
  <c r="S20" i="7" s="1"/>
  <c r="P20" i="7"/>
  <c r="T20" i="7" s="1"/>
  <c r="Q20" i="7"/>
  <c r="U20" i="7" s="1"/>
  <c r="J21" i="7"/>
  <c r="K21" i="7"/>
  <c r="L21" i="7"/>
  <c r="M21" i="7"/>
  <c r="N21" i="7"/>
  <c r="S21" i="7" s="1"/>
  <c r="P21" i="7"/>
  <c r="T21" i="7" s="1"/>
  <c r="Q21" i="7"/>
  <c r="U21" i="7" s="1"/>
  <c r="J22" i="7"/>
  <c r="K22" i="7"/>
  <c r="L22" i="7"/>
  <c r="M22" i="7"/>
  <c r="N22" i="7"/>
  <c r="S22" i="7" s="1"/>
  <c r="P22" i="7"/>
  <c r="Q22" i="7"/>
  <c r="U22" i="7" s="1"/>
  <c r="J23" i="7"/>
  <c r="K23" i="7"/>
  <c r="L23" i="7"/>
  <c r="M23" i="7"/>
  <c r="N23" i="7"/>
  <c r="S23" i="7" s="1"/>
  <c r="P23" i="7"/>
  <c r="Q23" i="7"/>
  <c r="U23" i="7" s="1"/>
  <c r="J24" i="7"/>
  <c r="K24" i="7"/>
  <c r="L24" i="7"/>
  <c r="M24" i="7"/>
  <c r="N24" i="7"/>
  <c r="P24" i="7"/>
  <c r="T24" i="7" s="1"/>
  <c r="Q24" i="7"/>
  <c r="U24" i="7" s="1"/>
  <c r="J25" i="7"/>
  <c r="K25" i="7"/>
  <c r="L25" i="7"/>
  <c r="M25" i="7"/>
  <c r="N25" i="7"/>
  <c r="S25" i="7" s="1"/>
  <c r="P25" i="7"/>
  <c r="T25" i="7" s="1"/>
  <c r="Q25" i="7"/>
  <c r="U25" i="7" s="1"/>
  <c r="J26" i="7"/>
  <c r="K26" i="7"/>
  <c r="L26" i="7"/>
  <c r="M26" i="7"/>
  <c r="N26" i="7"/>
  <c r="S26" i="7" s="1"/>
  <c r="P26" i="7"/>
  <c r="Q26" i="7"/>
  <c r="U26" i="7" s="1"/>
  <c r="J27" i="7"/>
  <c r="K27" i="7"/>
  <c r="L27" i="7"/>
  <c r="M27" i="7"/>
  <c r="N27" i="7"/>
  <c r="S27" i="7" s="1"/>
  <c r="P27" i="7"/>
  <c r="Q27" i="7"/>
  <c r="U27" i="7" s="1"/>
  <c r="J28" i="7"/>
  <c r="K28" i="7"/>
  <c r="L28" i="7"/>
  <c r="M28" i="7"/>
  <c r="N28" i="7"/>
  <c r="S28" i="7" s="1"/>
  <c r="P28" i="7"/>
  <c r="Q28" i="7"/>
  <c r="U28" i="7" s="1"/>
  <c r="J29" i="7"/>
  <c r="K29" i="7"/>
  <c r="L29" i="7"/>
  <c r="M29" i="7"/>
  <c r="N29" i="7"/>
  <c r="S29" i="7" s="1"/>
  <c r="P29" i="7"/>
  <c r="Q29" i="7"/>
  <c r="U29" i="7" s="1"/>
  <c r="J30" i="7"/>
  <c r="K30" i="7"/>
  <c r="L30" i="7"/>
  <c r="M30" i="7"/>
  <c r="N30" i="7"/>
  <c r="S30" i="7" s="1"/>
  <c r="P30" i="7"/>
  <c r="Q30" i="7"/>
  <c r="U30" i="7" s="1"/>
  <c r="J31" i="7"/>
  <c r="K31" i="7"/>
  <c r="L31" i="7"/>
  <c r="M31" i="7"/>
  <c r="N31" i="7"/>
  <c r="S31" i="7" s="1"/>
  <c r="P31" i="7"/>
  <c r="Q31" i="7"/>
  <c r="U31" i="7" s="1"/>
  <c r="Q19" i="7"/>
  <c r="U19" i="7" s="1"/>
  <c r="P19" i="7"/>
  <c r="T19" i="7" s="1"/>
  <c r="N19" i="7"/>
  <c r="S19" i="7" s="1"/>
  <c r="M19" i="7"/>
  <c r="L19" i="7"/>
  <c r="K19" i="7"/>
  <c r="J19" i="7"/>
  <c r="Q18" i="7"/>
  <c r="U18" i="7" s="1"/>
  <c r="P18" i="7"/>
  <c r="T18" i="7" s="1"/>
  <c r="N18" i="7"/>
  <c r="S18" i="7" s="1"/>
  <c r="M18" i="7"/>
  <c r="L18" i="7"/>
  <c r="K18" i="7"/>
  <c r="J18" i="7"/>
  <c r="Q17" i="7"/>
  <c r="P17" i="7"/>
  <c r="T17" i="7" s="1"/>
  <c r="N17" i="7"/>
  <c r="S17" i="7" s="1"/>
  <c r="M17" i="7"/>
  <c r="L17" i="7"/>
  <c r="K17" i="7"/>
  <c r="J17" i="7"/>
  <c r="Q16" i="7"/>
  <c r="U16" i="7" s="1"/>
  <c r="P16" i="7"/>
  <c r="T16" i="7" s="1"/>
  <c r="N16" i="7"/>
  <c r="S16" i="7" s="1"/>
  <c r="M16" i="7"/>
  <c r="L16" i="7"/>
  <c r="K16" i="7"/>
  <c r="J16" i="7"/>
  <c r="Q15" i="7"/>
  <c r="U15" i="7" s="1"/>
  <c r="P15" i="7"/>
  <c r="T15" i="7" s="1"/>
  <c r="N15" i="7"/>
  <c r="S15" i="7" s="1"/>
  <c r="M15" i="7"/>
  <c r="L15" i="7"/>
  <c r="K15" i="7"/>
  <c r="J15" i="7"/>
  <c r="Q14" i="7"/>
  <c r="U14" i="7" s="1"/>
  <c r="P14" i="7"/>
  <c r="T14" i="7" s="1"/>
  <c r="N14" i="7"/>
  <c r="S14" i="7" s="1"/>
  <c r="M14" i="7"/>
  <c r="L14" i="7"/>
  <c r="K14" i="7"/>
  <c r="J14" i="7"/>
  <c r="Q13" i="7"/>
  <c r="U13" i="7" s="1"/>
  <c r="P13" i="7"/>
  <c r="T13" i="7" s="1"/>
  <c r="N13" i="7"/>
  <c r="S13" i="7" s="1"/>
  <c r="M13" i="7"/>
  <c r="L13" i="7"/>
  <c r="K13" i="7"/>
  <c r="J13" i="7"/>
  <c r="Q12" i="7"/>
  <c r="U12" i="7" s="1"/>
  <c r="P12" i="7"/>
  <c r="T12" i="7" s="1"/>
  <c r="N12" i="7"/>
  <c r="S12" i="7" s="1"/>
  <c r="M12" i="7"/>
  <c r="L12" i="7"/>
  <c r="K12" i="7"/>
  <c r="J12" i="7"/>
  <c r="Q11" i="7"/>
  <c r="U11" i="7" s="1"/>
  <c r="P11" i="7"/>
  <c r="T11" i="7" s="1"/>
  <c r="N11" i="7"/>
  <c r="S11" i="7" s="1"/>
  <c r="M11" i="7"/>
  <c r="L11" i="7"/>
  <c r="K11" i="7"/>
  <c r="J11" i="7"/>
  <c r="Q10" i="7"/>
  <c r="U10" i="7" s="1"/>
  <c r="P10" i="7"/>
  <c r="T10" i="7" s="1"/>
  <c r="N10" i="7"/>
  <c r="S10" i="7" s="1"/>
  <c r="M10" i="7"/>
  <c r="L10" i="7"/>
  <c r="K10" i="7"/>
  <c r="J10" i="7"/>
  <c r="Q9" i="7"/>
  <c r="U9" i="7" s="1"/>
  <c r="P9" i="7"/>
  <c r="T9" i="7" s="1"/>
  <c r="N9" i="7"/>
  <c r="S9" i="7" s="1"/>
  <c r="M9" i="7"/>
  <c r="L9" i="7"/>
  <c r="K9" i="7"/>
  <c r="J9" i="7"/>
  <c r="Q8" i="7"/>
  <c r="U8" i="7" s="1"/>
  <c r="P8" i="7"/>
  <c r="T8" i="7" s="1"/>
  <c r="N8" i="7"/>
  <c r="S8" i="7" s="1"/>
  <c r="M8" i="7"/>
  <c r="L8" i="7"/>
  <c r="K8" i="7"/>
  <c r="J8" i="7"/>
  <c r="Q7" i="7"/>
  <c r="U7" i="7" s="1"/>
  <c r="P7" i="7"/>
  <c r="T7" i="7" s="1"/>
  <c r="N7" i="7"/>
  <c r="S7" i="7" s="1"/>
  <c r="M7" i="7"/>
  <c r="L7" i="7"/>
  <c r="K7" i="7"/>
  <c r="J7" i="7"/>
  <c r="Q6" i="7"/>
  <c r="U6" i="7" s="1"/>
  <c r="P6" i="7"/>
  <c r="T6" i="7" s="1"/>
  <c r="N6" i="7"/>
  <c r="S6" i="7" s="1"/>
  <c r="M6" i="7"/>
  <c r="L6" i="7"/>
  <c r="K6" i="7"/>
  <c r="J6" i="7"/>
  <c r="Q5" i="7"/>
  <c r="U5" i="7" s="1"/>
  <c r="P5" i="7"/>
  <c r="T5" i="7" s="1"/>
  <c r="N5" i="7"/>
  <c r="M5" i="7"/>
  <c r="L5" i="7"/>
  <c r="K5" i="7"/>
  <c r="J5" i="7"/>
  <c r="Q4" i="7"/>
  <c r="U4" i="7" s="1"/>
  <c r="P4" i="7"/>
  <c r="T4" i="7" s="1"/>
  <c r="N4" i="7"/>
  <c r="S4" i="7" s="1"/>
  <c r="M4" i="7"/>
  <c r="L4" i="7"/>
  <c r="K4" i="7"/>
  <c r="J4" i="7"/>
  <c r="Q3" i="7"/>
  <c r="U3" i="7" s="1"/>
  <c r="P3" i="7"/>
  <c r="T3" i="7" s="1"/>
  <c r="N3" i="7"/>
  <c r="S3" i="7" s="1"/>
  <c r="M3" i="7"/>
  <c r="L3" i="7"/>
  <c r="K3" i="7"/>
  <c r="J3" i="7"/>
  <c r="U3" i="6"/>
  <c r="K11" i="6"/>
  <c r="U11" i="6" s="1"/>
  <c r="Y11" i="6" s="1"/>
  <c r="K10" i="6"/>
  <c r="U10" i="6" s="1"/>
  <c r="Y10" i="6" s="1"/>
  <c r="K9" i="6"/>
  <c r="U9" i="6" s="1"/>
  <c r="K8" i="6"/>
  <c r="U8" i="6" s="1"/>
  <c r="Y8" i="6" s="1"/>
  <c r="K7" i="6"/>
  <c r="K6" i="6"/>
  <c r="U6" i="6" s="1"/>
  <c r="K5" i="6"/>
  <c r="U5" i="6" s="1"/>
  <c r="Y5" i="6" s="1"/>
  <c r="K4" i="6"/>
  <c r="U4" i="6" s="1"/>
  <c r="K3" i="6"/>
  <c r="H11" i="6"/>
  <c r="T11" i="6" s="1"/>
  <c r="H10" i="6"/>
  <c r="T10" i="6" s="1"/>
  <c r="H9" i="6"/>
  <c r="T9" i="6" s="1"/>
  <c r="H8" i="6"/>
  <c r="T8" i="6" s="1"/>
  <c r="H7" i="6"/>
  <c r="T7" i="6" s="1"/>
  <c r="H6" i="6"/>
  <c r="T6" i="6" s="1"/>
  <c r="H5" i="6"/>
  <c r="T5" i="6" s="1"/>
  <c r="X5" i="6" s="1"/>
  <c r="H4" i="6"/>
  <c r="T4" i="6" s="1"/>
  <c r="X4" i="6" s="1"/>
  <c r="H3" i="6"/>
  <c r="T3" i="6" s="1"/>
  <c r="E4" i="6"/>
  <c r="S4" i="6" s="1"/>
  <c r="E5" i="6"/>
  <c r="S5" i="6" s="1"/>
  <c r="E6" i="6"/>
  <c r="E7" i="6"/>
  <c r="S7" i="6" s="1"/>
  <c r="E8" i="6"/>
  <c r="E9" i="6"/>
  <c r="S9" i="6" s="1"/>
  <c r="E10" i="6"/>
  <c r="S10" i="6" s="1"/>
  <c r="W10" i="6" s="1"/>
  <c r="E11" i="6"/>
  <c r="S11" i="6" s="1"/>
  <c r="E3" i="6"/>
  <c r="S3" i="6" s="1"/>
  <c r="R11" i="6"/>
  <c r="P11" i="6"/>
  <c r="O11" i="6"/>
  <c r="M11" i="6"/>
  <c r="R10" i="6"/>
  <c r="P10" i="6"/>
  <c r="O10" i="6"/>
  <c r="M10" i="6"/>
  <c r="R9" i="6"/>
  <c r="P9" i="6"/>
  <c r="O9" i="6"/>
  <c r="M9" i="6"/>
  <c r="R8" i="6"/>
  <c r="P8" i="6"/>
  <c r="O8" i="6"/>
  <c r="M8" i="6"/>
  <c r="R7" i="6"/>
  <c r="P7" i="6"/>
  <c r="O7" i="6"/>
  <c r="M7" i="6"/>
  <c r="R6" i="6"/>
  <c r="P6" i="6"/>
  <c r="O6" i="6"/>
  <c r="M6" i="6"/>
  <c r="R5" i="6"/>
  <c r="P5" i="6"/>
  <c r="O5" i="6"/>
  <c r="M5" i="6"/>
  <c r="R4" i="6"/>
  <c r="P4" i="6"/>
  <c r="O4" i="6"/>
  <c r="M4" i="6"/>
  <c r="R3" i="6"/>
  <c r="P3" i="6"/>
  <c r="O3" i="6"/>
  <c r="M3" i="6"/>
  <c r="Z9" i="8" l="1"/>
  <c r="N11" i="9"/>
  <c r="Q8" i="9"/>
  <c r="S11" i="9"/>
  <c r="W7" i="6"/>
  <c r="Q6" i="6"/>
  <c r="Q10" i="6"/>
  <c r="V3" i="7"/>
  <c r="Z12" i="10"/>
  <c r="W6" i="6"/>
  <c r="V13" i="10"/>
  <c r="AA13" i="10" s="1"/>
  <c r="AB13" i="10" s="1"/>
  <c r="AC13" i="10" s="1"/>
  <c r="Q7" i="6"/>
  <c r="W9" i="6"/>
  <c r="Q10" i="9"/>
  <c r="X6" i="6"/>
  <c r="Q5" i="6"/>
  <c r="Q8" i="6"/>
  <c r="Q4" i="9"/>
  <c r="S3" i="9"/>
  <c r="N3" i="9"/>
  <c r="N8" i="6"/>
  <c r="S6" i="6"/>
  <c r="N9" i="6"/>
  <c r="S8" i="6"/>
  <c r="W8" i="6" s="1"/>
  <c r="U7" i="6"/>
  <c r="Y7" i="6" s="1"/>
  <c r="Z21" i="8"/>
  <c r="Y13" i="10"/>
  <c r="Z13" i="10" s="1"/>
  <c r="V8" i="10"/>
  <c r="AA8" i="10" s="1"/>
  <c r="AB8" i="10" s="1"/>
  <c r="AC8" i="10" s="1"/>
  <c r="Z7" i="10"/>
  <c r="V9" i="10"/>
  <c r="AA9" i="10" s="1"/>
  <c r="AB9" i="10" s="1"/>
  <c r="AC9" i="10" s="1"/>
  <c r="Z6" i="10"/>
  <c r="W8" i="10"/>
  <c r="Z8" i="10" s="1"/>
  <c r="V10" i="10"/>
  <c r="AA10" i="10" s="1"/>
  <c r="AB10" i="10" s="1"/>
  <c r="AC10" i="10" s="1"/>
  <c r="V7" i="10"/>
  <c r="AA7" i="10" s="1"/>
  <c r="AB7" i="10" s="1"/>
  <c r="AC7" i="10" s="1"/>
  <c r="V3" i="10"/>
  <c r="AA3" i="10" s="1"/>
  <c r="AB3" i="10" s="1"/>
  <c r="AC3" i="10" s="1"/>
  <c r="V11" i="10"/>
  <c r="AA11" i="10" s="1"/>
  <c r="AB11" i="10" s="1"/>
  <c r="AC11" i="10" s="1"/>
  <c r="Z9" i="10"/>
  <c r="Z3" i="10"/>
  <c r="Z11" i="10"/>
  <c r="Z10" i="10"/>
  <c r="Z4" i="10"/>
  <c r="Z5" i="10"/>
  <c r="V4" i="10"/>
  <c r="AA4" i="10" s="1"/>
  <c r="AB4" i="10" s="1"/>
  <c r="AC4" i="10" s="1"/>
  <c r="V5" i="10"/>
  <c r="AA5" i="10" s="1"/>
  <c r="AB5" i="10" s="1"/>
  <c r="AC5" i="10" s="1"/>
  <c r="V6" i="10"/>
  <c r="AA6" i="10" s="1"/>
  <c r="AB6" i="10" s="1"/>
  <c r="AC6" i="10" s="1"/>
  <c r="Z14" i="9"/>
  <c r="N14" i="9"/>
  <c r="N13" i="9"/>
  <c r="Q13" i="9"/>
  <c r="Q6" i="9"/>
  <c r="U13" i="9"/>
  <c r="Y13" i="9" s="1"/>
  <c r="T13" i="9"/>
  <c r="X13" i="9" s="1"/>
  <c r="N12" i="9"/>
  <c r="V12" i="9"/>
  <c r="AA12" i="9" s="1"/>
  <c r="AB12" i="9" s="1"/>
  <c r="AC12" i="9" s="1"/>
  <c r="W13" i="9"/>
  <c r="Q14" i="9"/>
  <c r="Q12" i="9"/>
  <c r="W12" i="9"/>
  <c r="Z12" i="9" s="1"/>
  <c r="V14" i="9"/>
  <c r="AA14" i="9" s="1"/>
  <c r="AB14" i="9" s="1"/>
  <c r="AC14" i="9" s="1"/>
  <c r="W11" i="9"/>
  <c r="Z11" i="9" s="1"/>
  <c r="V11" i="9"/>
  <c r="AA11" i="9" s="1"/>
  <c r="AB11" i="9" s="1"/>
  <c r="AC11" i="9" s="1"/>
  <c r="V3" i="9"/>
  <c r="AA3" i="9" s="1"/>
  <c r="AB3" i="9" s="1"/>
  <c r="AC3" i="9" s="1"/>
  <c r="W3" i="9"/>
  <c r="Z3" i="9" s="1"/>
  <c r="Z4" i="9"/>
  <c r="W5" i="9"/>
  <c r="Z5" i="9" s="1"/>
  <c r="V5" i="9"/>
  <c r="AA5" i="9" s="1"/>
  <c r="AB5" i="9" s="1"/>
  <c r="Z6" i="9"/>
  <c r="W7" i="9"/>
  <c r="Z7" i="9" s="1"/>
  <c r="V7" i="9"/>
  <c r="AA7" i="9" s="1"/>
  <c r="AB7" i="9" s="1"/>
  <c r="AC7" i="9" s="1"/>
  <c r="Z8" i="9"/>
  <c r="W9" i="9"/>
  <c r="Z9" i="9" s="1"/>
  <c r="V9" i="9"/>
  <c r="AA9" i="9" s="1"/>
  <c r="AB9" i="9" s="1"/>
  <c r="AC9" i="9" s="1"/>
  <c r="Z10" i="9"/>
  <c r="N5" i="9"/>
  <c r="N7" i="9"/>
  <c r="N9" i="9"/>
  <c r="Q3" i="9"/>
  <c r="Q5" i="9"/>
  <c r="Q7" i="9"/>
  <c r="Q9" i="9"/>
  <c r="Q11" i="9"/>
  <c r="N4" i="9"/>
  <c r="V4" i="9"/>
  <c r="AA4" i="9" s="1"/>
  <c r="AB4" i="9" s="1"/>
  <c r="AC4" i="9" s="1"/>
  <c r="N6" i="9"/>
  <c r="V6" i="9"/>
  <c r="AA6" i="9" s="1"/>
  <c r="AB6" i="9" s="1"/>
  <c r="AC6" i="9" s="1"/>
  <c r="N8" i="9"/>
  <c r="V8" i="9"/>
  <c r="AA8" i="9" s="1"/>
  <c r="AB8" i="9" s="1"/>
  <c r="AC8" i="9" s="1"/>
  <c r="N10" i="9"/>
  <c r="V10" i="9"/>
  <c r="AA10" i="9" s="1"/>
  <c r="AB10" i="9" s="1"/>
  <c r="AC10" i="9" s="1"/>
  <c r="W30" i="8"/>
  <c r="Z30" i="8"/>
  <c r="Z26" i="8"/>
  <c r="Z25" i="8"/>
  <c r="Z18" i="8"/>
  <c r="Z11" i="8"/>
  <c r="V3" i="8"/>
  <c r="Z3" i="8"/>
  <c r="W12" i="8"/>
  <c r="Z12" i="8" s="1"/>
  <c r="X27" i="8"/>
  <c r="Z27" i="8" s="1"/>
  <c r="W22" i="8"/>
  <c r="Z22" i="8" s="1"/>
  <c r="X17" i="8"/>
  <c r="Z17" i="8" s="1"/>
  <c r="W10" i="8"/>
  <c r="Z10" i="8" s="1"/>
  <c r="W29" i="8"/>
  <c r="Z29" i="8" s="1"/>
  <c r="W28" i="8"/>
  <c r="Z28" i="8" s="1"/>
  <c r="Z19" i="8"/>
  <c r="Z20" i="8"/>
  <c r="W24" i="8"/>
  <c r="Z24" i="8" s="1"/>
  <c r="W16" i="8"/>
  <c r="Z16" i="8" s="1"/>
  <c r="X15" i="8"/>
  <c r="Z15" i="8" s="1"/>
  <c r="W23" i="8"/>
  <c r="Z23" i="8" s="1"/>
  <c r="Z6" i="8"/>
  <c r="Z14" i="8"/>
  <c r="Z4" i="8"/>
  <c r="Z5" i="8"/>
  <c r="Z7" i="8"/>
  <c r="Z13" i="8"/>
  <c r="Z8" i="8"/>
  <c r="R28" i="7"/>
  <c r="W28" i="7" s="1"/>
  <c r="X28" i="7" s="1"/>
  <c r="T28" i="7"/>
  <c r="V28" i="7" s="1"/>
  <c r="R20" i="7"/>
  <c r="W20" i="7" s="1"/>
  <c r="X20" i="7" s="1"/>
  <c r="V15" i="7"/>
  <c r="V12" i="7"/>
  <c r="R5" i="7"/>
  <c r="W5" i="7" s="1"/>
  <c r="X5" i="7" s="1"/>
  <c r="R23" i="7"/>
  <c r="W23" i="7" s="1"/>
  <c r="X23" i="7" s="1"/>
  <c r="R22" i="7"/>
  <c r="W22" i="7" s="1"/>
  <c r="X22" i="7" s="1"/>
  <c r="R31" i="7"/>
  <c r="W31" i="7" s="1"/>
  <c r="X31" i="7" s="1"/>
  <c r="R30" i="7"/>
  <c r="W30" i="7" s="1"/>
  <c r="X30" i="7" s="1"/>
  <c r="R29" i="7"/>
  <c r="W29" i="7" s="1"/>
  <c r="X29" i="7" s="1"/>
  <c r="R24" i="7"/>
  <c r="W24" i="7" s="1"/>
  <c r="X24" i="7" s="1"/>
  <c r="S5" i="7"/>
  <c r="V5" i="7" s="1"/>
  <c r="R17" i="7"/>
  <c r="W17" i="7" s="1"/>
  <c r="X17" i="7" s="1"/>
  <c r="R15" i="7"/>
  <c r="W15" i="7" s="1"/>
  <c r="X15" i="7" s="1"/>
  <c r="V25" i="7"/>
  <c r="R4" i="7"/>
  <c r="W4" i="7" s="1"/>
  <c r="X4" i="7" s="1"/>
  <c r="R9" i="7"/>
  <c r="W9" i="7" s="1"/>
  <c r="X9" i="7" s="1"/>
  <c r="R12" i="7"/>
  <c r="W12" i="7" s="1"/>
  <c r="X12" i="7" s="1"/>
  <c r="R27" i="7"/>
  <c r="W27" i="7" s="1"/>
  <c r="X27" i="7" s="1"/>
  <c r="R26" i="7"/>
  <c r="W26" i="7" s="1"/>
  <c r="X26" i="7" s="1"/>
  <c r="V13" i="7"/>
  <c r="U17" i="7"/>
  <c r="V17" i="7" s="1"/>
  <c r="R19" i="7"/>
  <c r="W19" i="7" s="1"/>
  <c r="X19" i="7" s="1"/>
  <c r="R11" i="7"/>
  <c r="W11" i="7" s="1"/>
  <c r="X11" i="7" s="1"/>
  <c r="V14" i="7"/>
  <c r="R25" i="7"/>
  <c r="W25" i="7" s="1"/>
  <c r="X25" i="7" s="1"/>
  <c r="R3" i="7"/>
  <c r="W3" i="7" s="1"/>
  <c r="X3" i="7" s="1"/>
  <c r="V6" i="7"/>
  <c r="V7" i="7"/>
  <c r="R13" i="7"/>
  <c r="W13" i="7" s="1"/>
  <c r="X13" i="7" s="1"/>
  <c r="R16" i="7"/>
  <c r="W16" i="7" s="1"/>
  <c r="X16" i="7" s="1"/>
  <c r="S24" i="7"/>
  <c r="V24" i="7" s="1"/>
  <c r="V21" i="7"/>
  <c r="R8" i="7"/>
  <c r="W8" i="7" s="1"/>
  <c r="X8" i="7" s="1"/>
  <c r="T29" i="7"/>
  <c r="V29" i="7" s="1"/>
  <c r="V20" i="7"/>
  <c r="R7" i="7"/>
  <c r="W7" i="7" s="1"/>
  <c r="X7" i="7" s="1"/>
  <c r="V9" i="7"/>
  <c r="V19" i="7"/>
  <c r="R21" i="7"/>
  <c r="W21" i="7" s="1"/>
  <c r="X21" i="7" s="1"/>
  <c r="T30" i="7"/>
  <c r="V30" i="7" s="1"/>
  <c r="T26" i="7"/>
  <c r="V26" i="7" s="1"/>
  <c r="T22" i="7"/>
  <c r="V22" i="7" s="1"/>
  <c r="T27" i="7"/>
  <c r="V27" i="7" s="1"/>
  <c r="T23" i="7"/>
  <c r="V23" i="7" s="1"/>
  <c r="T31" i="7"/>
  <c r="V31" i="7" s="1"/>
  <c r="V4" i="7"/>
  <c r="V16" i="7"/>
  <c r="V8" i="7"/>
  <c r="V10" i="7"/>
  <c r="V11" i="7"/>
  <c r="V18" i="7"/>
  <c r="R6" i="7"/>
  <c r="W6" i="7" s="1"/>
  <c r="X6" i="7" s="1"/>
  <c r="R10" i="7"/>
  <c r="W10" i="7" s="1"/>
  <c r="X10" i="7" s="1"/>
  <c r="R14" i="7"/>
  <c r="W14" i="7" s="1"/>
  <c r="X14" i="7" s="1"/>
  <c r="R18" i="7"/>
  <c r="W18" i="7" s="1"/>
  <c r="X18" i="7" s="1"/>
  <c r="Y3" i="6"/>
  <c r="X8" i="6"/>
  <c r="X3" i="6"/>
  <c r="W5" i="6"/>
  <c r="Z5" i="6" s="1"/>
  <c r="W4" i="6"/>
  <c r="W11" i="6"/>
  <c r="N11" i="6"/>
  <c r="X9" i="6"/>
  <c r="Q9" i="6"/>
  <c r="N6" i="6"/>
  <c r="Y6" i="6"/>
  <c r="N5" i="6"/>
  <c r="N4" i="6"/>
  <c r="Y4" i="6"/>
  <c r="N10" i="6"/>
  <c r="X7" i="6"/>
  <c r="Q11" i="6"/>
  <c r="V3" i="6"/>
  <c r="AA3" i="6" s="1"/>
  <c r="AB3" i="6" s="1"/>
  <c r="AC3" i="6" s="1"/>
  <c r="N7" i="6"/>
  <c r="X11" i="6"/>
  <c r="N3" i="6"/>
  <c r="Q4" i="6"/>
  <c r="V10" i="6"/>
  <c r="AA10" i="6" s="1"/>
  <c r="AB10" i="6" s="1"/>
  <c r="AC10" i="6" s="1"/>
  <c r="Q3" i="6"/>
  <c r="W3" i="6"/>
  <c r="Y9" i="6"/>
  <c r="X10" i="6"/>
  <c r="Z10" i="6" s="1"/>
  <c r="V5" i="6"/>
  <c r="AA5" i="6" s="1"/>
  <c r="AB5" i="6" s="1"/>
  <c r="AC5" i="6" s="1"/>
  <c r="Z13" i="9" l="1"/>
  <c r="Z6" i="6"/>
  <c r="V8" i="6"/>
  <c r="AA8" i="6" s="1"/>
  <c r="AB8" i="6" s="1"/>
  <c r="AC8" i="6" s="1"/>
  <c r="Z7" i="6"/>
  <c r="Z8" i="6"/>
  <c r="Z11" i="6"/>
  <c r="Z9" i="6"/>
  <c r="Z3" i="6"/>
  <c r="V13" i="9"/>
  <c r="AA13" i="9" s="1"/>
  <c r="AB13" i="9" s="1"/>
  <c r="AC13" i="9" s="1"/>
  <c r="Z4" i="6"/>
  <c r="V11" i="6"/>
  <c r="AA11" i="6" s="1"/>
  <c r="AB11" i="6" s="1"/>
  <c r="AC11" i="6" s="1"/>
  <c r="V9" i="6"/>
  <c r="AA9" i="6" s="1"/>
  <c r="AB9" i="6" s="1"/>
  <c r="AC9" i="6" s="1"/>
  <c r="V7" i="6"/>
  <c r="AA7" i="6" s="1"/>
  <c r="AB7" i="6" s="1"/>
  <c r="AC7" i="6" s="1"/>
  <c r="V6" i="6"/>
  <c r="AA6" i="6" s="1"/>
  <c r="AB6" i="6" s="1"/>
  <c r="AC6" i="6" s="1"/>
  <c r="V4" i="6"/>
  <c r="AA4" i="6" s="1"/>
  <c r="AB4" i="6" s="1"/>
  <c r="AC4" i="6" s="1"/>
  <c r="Q19" i="2" l="1"/>
  <c r="U19" i="2" s="1"/>
  <c r="P19" i="2"/>
  <c r="T19" i="2" s="1"/>
  <c r="N19" i="2"/>
  <c r="M19" i="2"/>
  <c r="L19" i="2"/>
  <c r="K19" i="2"/>
  <c r="J19" i="2"/>
  <c r="Q18" i="2"/>
  <c r="U18" i="2" s="1"/>
  <c r="P18" i="2"/>
  <c r="T18" i="2" s="1"/>
  <c r="N18" i="2"/>
  <c r="M18" i="2"/>
  <c r="L18" i="2"/>
  <c r="K18" i="2"/>
  <c r="J18" i="2"/>
  <c r="Q17" i="2"/>
  <c r="U17" i="2" s="1"/>
  <c r="P17" i="2"/>
  <c r="T17" i="2" s="1"/>
  <c r="N17" i="2"/>
  <c r="M17" i="2"/>
  <c r="L17" i="2"/>
  <c r="K17" i="2"/>
  <c r="J17" i="2"/>
  <c r="Q16" i="2"/>
  <c r="U16" i="2" s="1"/>
  <c r="P16" i="2"/>
  <c r="T16" i="2" s="1"/>
  <c r="N16" i="2"/>
  <c r="S16" i="2" s="1"/>
  <c r="M16" i="2"/>
  <c r="L16" i="2"/>
  <c r="K16" i="2"/>
  <c r="J16" i="2"/>
  <c r="Q15" i="2"/>
  <c r="U15" i="2" s="1"/>
  <c r="P15" i="2"/>
  <c r="T15" i="2" s="1"/>
  <c r="N15" i="2"/>
  <c r="M15" i="2"/>
  <c r="L15" i="2"/>
  <c r="K15" i="2"/>
  <c r="J15" i="2"/>
  <c r="Q14" i="2"/>
  <c r="U14" i="2" s="1"/>
  <c r="P14" i="2"/>
  <c r="T14" i="2" s="1"/>
  <c r="N14" i="2"/>
  <c r="M14" i="2"/>
  <c r="L14" i="2"/>
  <c r="K14" i="2"/>
  <c r="J14" i="2"/>
  <c r="Q13" i="2"/>
  <c r="U13" i="2" s="1"/>
  <c r="P13" i="2"/>
  <c r="T13" i="2" s="1"/>
  <c r="N13" i="2"/>
  <c r="M13" i="2"/>
  <c r="L13" i="2"/>
  <c r="Q12" i="2"/>
  <c r="U12" i="2" s="1"/>
  <c r="P12" i="2"/>
  <c r="T12" i="2" s="1"/>
  <c r="N12" i="2"/>
  <c r="S12" i="2" s="1"/>
  <c r="M12" i="2"/>
  <c r="L12" i="2"/>
  <c r="Q11" i="2"/>
  <c r="U11" i="2" s="1"/>
  <c r="P11" i="2"/>
  <c r="T11" i="2" s="1"/>
  <c r="N11" i="2"/>
  <c r="S11" i="2" s="1"/>
  <c r="M11" i="2"/>
  <c r="L11" i="2"/>
  <c r="Q10" i="2"/>
  <c r="U10" i="2" s="1"/>
  <c r="P10" i="2"/>
  <c r="T10" i="2" s="1"/>
  <c r="N10" i="2"/>
  <c r="S10" i="2" s="1"/>
  <c r="M10" i="2"/>
  <c r="L10" i="2"/>
  <c r="K10" i="2"/>
  <c r="J10" i="2"/>
  <c r="Q9" i="2"/>
  <c r="U9" i="2" s="1"/>
  <c r="P9" i="2"/>
  <c r="T9" i="2" s="1"/>
  <c r="N9" i="2"/>
  <c r="M9" i="2"/>
  <c r="L9" i="2"/>
  <c r="K9" i="2"/>
  <c r="J9" i="2"/>
  <c r="Q8" i="2"/>
  <c r="U8" i="2" s="1"/>
  <c r="P8" i="2"/>
  <c r="T8" i="2" s="1"/>
  <c r="N8" i="2"/>
  <c r="S8" i="2" s="1"/>
  <c r="M8" i="2"/>
  <c r="L8" i="2"/>
  <c r="K8" i="2"/>
  <c r="J8" i="2"/>
  <c r="Q7" i="2"/>
  <c r="U7" i="2" s="1"/>
  <c r="P7" i="2"/>
  <c r="T7" i="2" s="1"/>
  <c r="N7" i="2"/>
  <c r="S7" i="2" s="1"/>
  <c r="M7" i="2"/>
  <c r="L7" i="2"/>
  <c r="K7" i="2"/>
  <c r="J7" i="2"/>
  <c r="Q5" i="2"/>
  <c r="U5" i="2" s="1"/>
  <c r="P5" i="2"/>
  <c r="T5" i="2" s="1"/>
  <c r="N5" i="2"/>
  <c r="M5" i="2"/>
  <c r="L5" i="2"/>
  <c r="K5" i="2"/>
  <c r="J5" i="2"/>
  <c r="Q4" i="2"/>
  <c r="U4" i="2" s="1"/>
  <c r="P4" i="2"/>
  <c r="T4" i="2" s="1"/>
  <c r="N4" i="2"/>
  <c r="S4" i="2" s="1"/>
  <c r="M4" i="2"/>
  <c r="L4" i="2"/>
  <c r="K4" i="2"/>
  <c r="J4" i="2"/>
  <c r="Q3" i="2"/>
  <c r="U3" i="2" s="1"/>
  <c r="P3" i="2"/>
  <c r="T3" i="2" s="1"/>
  <c r="N3" i="2"/>
  <c r="M3" i="2"/>
  <c r="L3" i="2"/>
  <c r="K3" i="2"/>
  <c r="J3" i="2"/>
  <c r="R19" i="2" l="1"/>
  <c r="W19" i="2" s="1"/>
  <c r="X19" i="2" s="1"/>
  <c r="R15" i="2"/>
  <c r="W15" i="2" s="1"/>
  <c r="X15" i="2" s="1"/>
  <c r="R14" i="2"/>
  <c r="W14" i="2" s="1"/>
  <c r="X14" i="2" s="1"/>
  <c r="R13" i="2"/>
  <c r="W13" i="2" s="1"/>
  <c r="X13" i="2" s="1"/>
  <c r="R5" i="2"/>
  <c r="W5" i="2" s="1"/>
  <c r="X5" i="2" s="1"/>
  <c r="R3" i="2"/>
  <c r="W3" i="2" s="1"/>
  <c r="X3" i="2" s="1"/>
  <c r="R18" i="2"/>
  <c r="W18" i="2" s="1"/>
  <c r="X18" i="2" s="1"/>
  <c r="R17" i="2"/>
  <c r="W17" i="2" s="1"/>
  <c r="X17" i="2" s="1"/>
  <c r="V12" i="2"/>
  <c r="V16" i="2"/>
  <c r="S14" i="2"/>
  <c r="V14" i="2" s="1"/>
  <c r="S15" i="2"/>
  <c r="V15" i="2" s="1"/>
  <c r="V11" i="2"/>
  <c r="V4" i="2"/>
  <c r="R7" i="2"/>
  <c r="W7" i="2" s="1"/>
  <c r="X7" i="2" s="1"/>
  <c r="S18" i="2"/>
  <c r="V18" i="2" s="1"/>
  <c r="S19" i="2"/>
  <c r="V19" i="2" s="1"/>
  <c r="V8" i="2"/>
  <c r="R10" i="2"/>
  <c r="W10" i="2" s="1"/>
  <c r="X10" i="2" s="1"/>
  <c r="R11" i="2"/>
  <c r="W11" i="2" s="1"/>
  <c r="X11" i="2" s="1"/>
  <c r="S3" i="2"/>
  <c r="V3" i="2" s="1"/>
  <c r="V7" i="2"/>
  <c r="R9" i="2"/>
  <c r="W9" i="2" s="1"/>
  <c r="X9" i="2" s="1"/>
  <c r="V10" i="2"/>
  <c r="S5" i="2"/>
  <c r="V5" i="2" s="1"/>
  <c r="S17" i="2"/>
  <c r="V17" i="2" s="1"/>
  <c r="S9" i="2"/>
  <c r="V9" i="2" s="1"/>
  <c r="S13" i="2"/>
  <c r="V13" i="2" s="1"/>
  <c r="R4" i="2"/>
  <c r="W4" i="2" s="1"/>
  <c r="X4" i="2" s="1"/>
  <c r="R8" i="2"/>
  <c r="W8" i="2" s="1"/>
  <c r="X8" i="2" s="1"/>
  <c r="R12" i="2"/>
  <c r="W12" i="2" s="1"/>
  <c r="X12" i="2" s="1"/>
  <c r="R16" i="2"/>
  <c r="W16" i="2" s="1"/>
  <c r="X16" i="2" s="1"/>
</calcChain>
</file>

<file path=xl/sharedStrings.xml><?xml version="1.0" encoding="utf-8"?>
<sst xmlns="http://schemas.openxmlformats.org/spreadsheetml/2006/main" count="1205" uniqueCount="338">
  <si>
    <t>Measurement 1</t>
  </si>
  <si>
    <t>Measurement 2</t>
  </si>
  <si>
    <t>Measurement 3</t>
  </si>
  <si>
    <t>Average Dimension</t>
  </si>
  <si>
    <t>Standard deviation</t>
  </si>
  <si>
    <t>Average-Density</t>
  </si>
  <si>
    <t>Type</t>
  </si>
  <si>
    <t>Shape</t>
  </si>
  <si>
    <t>Weight (gr)</t>
  </si>
  <si>
    <t>Çap (mm)</t>
  </si>
  <si>
    <t>Yükseklik (mm)</t>
  </si>
  <si>
    <t xml:space="preserve"> Yükseklik(mm)</t>
  </si>
  <si>
    <t>Çap(mm)</t>
  </si>
  <si>
    <t>Yükseklik(mm)</t>
  </si>
  <si>
    <t>Volume-1 (mm^3)</t>
  </si>
  <si>
    <t>Volume-2 (mm^3)</t>
  </si>
  <si>
    <t>Volume-3 (mm^3)</t>
  </si>
  <si>
    <t>Volume-Average(mm^3)</t>
  </si>
  <si>
    <t>Density-1 (gr/mm^3)</t>
  </si>
  <si>
    <t>Density-2 (gr/mm^3)</t>
  </si>
  <si>
    <t>Density-3 (gr/mm^3)</t>
  </si>
  <si>
    <t>Average Density (gr/mm^3)</t>
  </si>
  <si>
    <t>Density (gr/mm^3)</t>
  </si>
  <si>
    <t>Density (kg/m^3)</t>
  </si>
  <si>
    <t>Cylinder-1</t>
  </si>
  <si>
    <t>Cylinder-2</t>
  </si>
  <si>
    <t>Cylinder-3</t>
  </si>
  <si>
    <t>Cylinder-4</t>
  </si>
  <si>
    <t>Cylinder-5</t>
  </si>
  <si>
    <t>Cylinder-6</t>
  </si>
  <si>
    <t>Cylinder-7</t>
  </si>
  <si>
    <t>Cylinder-8</t>
  </si>
  <si>
    <t>Cylinder-9</t>
  </si>
  <si>
    <t>Cylinder-10</t>
  </si>
  <si>
    <t>Cylinder-11</t>
  </si>
  <si>
    <t>Cylinder-12</t>
  </si>
  <si>
    <t>Cylinder-13</t>
  </si>
  <si>
    <t>Cylinder-14</t>
  </si>
  <si>
    <t>Cylinder-15</t>
  </si>
  <si>
    <t>Cylinder-16</t>
  </si>
  <si>
    <t>Cylinder-17</t>
  </si>
  <si>
    <t>ABS</t>
  </si>
  <si>
    <t>a (mm)</t>
  </si>
  <si>
    <t>b (mm)</t>
  </si>
  <si>
    <t>c (mm)</t>
  </si>
  <si>
    <t>CUBE-1</t>
  </si>
  <si>
    <t>CUBE-2</t>
  </si>
  <si>
    <t>CUBE-3</t>
  </si>
  <si>
    <t>CUBE-4</t>
  </si>
  <si>
    <t>CUBE-5</t>
  </si>
  <si>
    <t>CUBE-6</t>
  </si>
  <si>
    <t>CUBE-7</t>
  </si>
  <si>
    <t>CUBE-8</t>
  </si>
  <si>
    <t>CUBE-9</t>
  </si>
  <si>
    <t>CUBE-10</t>
  </si>
  <si>
    <t>CUBE-11</t>
  </si>
  <si>
    <t>CUBE-12</t>
  </si>
  <si>
    <t>Diameter (mm)</t>
  </si>
  <si>
    <t>Height (mm)</t>
  </si>
  <si>
    <t>Diameter (a)</t>
  </si>
  <si>
    <t>Diameter (b)</t>
  </si>
  <si>
    <t>Elliptical  Cylinder-1</t>
  </si>
  <si>
    <t>Elliptical  Cylinder-2</t>
  </si>
  <si>
    <t>Elliptical  Cylinder-3</t>
  </si>
  <si>
    <t>Elliptical  Cylinder-4</t>
  </si>
  <si>
    <t>Elliptical  Cylinder-5</t>
  </si>
  <si>
    <t>Elliptical  Cylinder-6</t>
  </si>
  <si>
    <t>Elliptical  Cylinder-7</t>
  </si>
  <si>
    <t>Elliptical  Cylinder-8</t>
  </si>
  <si>
    <t>Elliptical  Cylinder-9</t>
  </si>
  <si>
    <t>Half  Cylinder-1</t>
  </si>
  <si>
    <t>Half  Cylinder-2</t>
  </si>
  <si>
    <t>Half  Cylinder-3</t>
  </si>
  <si>
    <t>Half  Cylinder-4</t>
  </si>
  <si>
    <t>Half  Cylinder-5</t>
  </si>
  <si>
    <t>Half  Cylinder-6</t>
  </si>
  <si>
    <t>Half  Cylinder-7</t>
  </si>
  <si>
    <t>Half  Cylinder-8</t>
  </si>
  <si>
    <t>Half  Cylinder-9</t>
  </si>
  <si>
    <t>Radius(mm)</t>
  </si>
  <si>
    <t>PLA</t>
  </si>
  <si>
    <t>Cylinder-18</t>
  </si>
  <si>
    <t>Cylinder-19</t>
  </si>
  <si>
    <t>Cylinder-20</t>
  </si>
  <si>
    <t>Cylinder-21</t>
  </si>
  <si>
    <t>Cylinder-22</t>
  </si>
  <si>
    <t>Cylinder-23</t>
  </si>
  <si>
    <t>Cylinder-24</t>
  </si>
  <si>
    <t>Cylinder-25</t>
  </si>
  <si>
    <t>Cylinder-26</t>
  </si>
  <si>
    <t>Cylinder-27</t>
  </si>
  <si>
    <t>Cylinder-28</t>
  </si>
  <si>
    <t>Cylinder-29</t>
  </si>
  <si>
    <t>CUBE-13</t>
  </si>
  <si>
    <t>CUBE-14</t>
  </si>
  <si>
    <t>CUBE-15</t>
  </si>
  <si>
    <t>CUBE-16</t>
  </si>
  <si>
    <t>CUBE-17</t>
  </si>
  <si>
    <t>CUBE-18</t>
  </si>
  <si>
    <t>CUBE-19</t>
  </si>
  <si>
    <t>CUBE-20</t>
  </si>
  <si>
    <t>CUBE-21</t>
  </si>
  <si>
    <t>CUBE-22</t>
  </si>
  <si>
    <t>CUBE-23</t>
  </si>
  <si>
    <t>CUBE-24</t>
  </si>
  <si>
    <t>CUBE-25</t>
  </si>
  <si>
    <t>CUBE-26</t>
  </si>
  <si>
    <t>CUBE-27</t>
  </si>
  <si>
    <t>CUBE-28</t>
  </si>
  <si>
    <t>Half  Cylinder-10</t>
  </si>
  <si>
    <t>Half  Cylinder-11</t>
  </si>
  <si>
    <t>Half  Cylinder-12</t>
  </si>
  <si>
    <t>PS</t>
  </si>
  <si>
    <t>Elliptical  Cylinder-10</t>
  </si>
  <si>
    <t>Elliptical  Cylinder-11</t>
  </si>
  <si>
    <t>Wedge-Shaped-1</t>
  </si>
  <si>
    <t>BSP-1</t>
  </si>
  <si>
    <t>Cube-1</t>
  </si>
  <si>
    <t>Cube-2</t>
  </si>
  <si>
    <t>Cube-3</t>
  </si>
  <si>
    <t>Cube-4</t>
  </si>
  <si>
    <t>Cube-5</t>
  </si>
  <si>
    <t>D-1</t>
  </si>
  <si>
    <t>D-2</t>
  </si>
  <si>
    <t>D-3</t>
  </si>
  <si>
    <t>D-4</t>
  </si>
  <si>
    <t>D-5</t>
  </si>
  <si>
    <t>D-6</t>
  </si>
  <si>
    <t>D-7</t>
  </si>
  <si>
    <t>D-8</t>
  </si>
  <si>
    <t>RESIN (a=9)</t>
  </si>
  <si>
    <t>RESIN (r=4.5)</t>
  </si>
  <si>
    <t>C-1</t>
  </si>
  <si>
    <t>C-2</t>
  </si>
  <si>
    <t>C-3</t>
  </si>
  <si>
    <t>C-4</t>
  </si>
  <si>
    <t>C-5</t>
  </si>
  <si>
    <t>C-6</t>
  </si>
  <si>
    <t>SP-1</t>
  </si>
  <si>
    <t>SP-2</t>
  </si>
  <si>
    <t>SP-3</t>
  </si>
  <si>
    <t>SP-4</t>
  </si>
  <si>
    <t>SP-5</t>
  </si>
  <si>
    <t>SP-6</t>
  </si>
  <si>
    <t>SP-7</t>
  </si>
  <si>
    <t>SP-8</t>
  </si>
  <si>
    <t>Cube-6</t>
  </si>
  <si>
    <t>RESIN (a=6)</t>
  </si>
  <si>
    <t>RESIN (r=3)</t>
  </si>
  <si>
    <t>BSP-4</t>
  </si>
  <si>
    <t>P6</t>
  </si>
  <si>
    <t>BSP-3</t>
  </si>
  <si>
    <t>BSP-2</t>
  </si>
  <si>
    <t>PA 6</t>
  </si>
  <si>
    <t>Surface Area(mm²)</t>
  </si>
  <si>
    <t>Box-shaped prism-50</t>
  </si>
  <si>
    <t>Plexiglass</t>
  </si>
  <si>
    <t>Box-shaped prism-49</t>
  </si>
  <si>
    <t>Box-shaped prism-48</t>
  </si>
  <si>
    <t>Box-shaped prism-47</t>
  </si>
  <si>
    <t>Box-shaped prism-46</t>
  </si>
  <si>
    <t>Box-shaped prism-45</t>
  </si>
  <si>
    <t>Box-shaped prism-44</t>
  </si>
  <si>
    <t>Box-shaped prism-43</t>
  </si>
  <si>
    <t>Box-shaped prism-42</t>
  </si>
  <si>
    <t>Box-shaped prism-41</t>
  </si>
  <si>
    <t>Box-shaped prism-40</t>
  </si>
  <si>
    <t>Box-shaped prism-39</t>
  </si>
  <si>
    <t>Box-shaped prism-38</t>
  </si>
  <si>
    <t>Box-shaped prism-37</t>
  </si>
  <si>
    <t>Box-shaped prism-36</t>
  </si>
  <si>
    <t>Box-shaped prism-35</t>
  </si>
  <si>
    <t>Box-shaped prism-34</t>
  </si>
  <si>
    <t>Box-shaped prism-33</t>
  </si>
  <si>
    <t>Box-shaped prism-32</t>
  </si>
  <si>
    <t>Box-shaped prism-31</t>
  </si>
  <si>
    <t>Box-shaped prism-30</t>
  </si>
  <si>
    <t>Box-shaped prism-29</t>
  </si>
  <si>
    <t>Box-shaped prism-28</t>
  </si>
  <si>
    <t>Box-shaped prism-27</t>
  </si>
  <si>
    <t>Box-shaped prism-26</t>
  </si>
  <si>
    <t>Box-shaped prism-25</t>
  </si>
  <si>
    <t>Box-shaped prism-24</t>
  </si>
  <si>
    <t>Box-shaped prism-23</t>
  </si>
  <si>
    <t>Box-shaped prism-22</t>
  </si>
  <si>
    <t>Box-shaped prism-21</t>
  </si>
  <si>
    <t>Box-shaped prism-20</t>
  </si>
  <si>
    <t>Box-shaped prism-19</t>
  </si>
  <si>
    <t>Box-shaped prism-18</t>
  </si>
  <si>
    <t>Box-shaped prism-17</t>
  </si>
  <si>
    <t>Box-shaped prism-16</t>
  </si>
  <si>
    <t>Box-shaped prism-15</t>
  </si>
  <si>
    <t>Box-shaped prism-14</t>
  </si>
  <si>
    <t>Box-shaped prism-13</t>
  </si>
  <si>
    <t>Box-shaped prism-12</t>
  </si>
  <si>
    <t>Box-shaped prism-11</t>
  </si>
  <si>
    <t>Box-shaped prism-10</t>
  </si>
  <si>
    <t>Box-shaped prism-9</t>
  </si>
  <si>
    <t>Box-shaped prism-8</t>
  </si>
  <si>
    <t>Box-shaped prism-7</t>
  </si>
  <si>
    <t>Box-shaped prism-6</t>
  </si>
  <si>
    <t>Box-shaped prism-5</t>
  </si>
  <si>
    <t>Box-shaped prism-4</t>
  </si>
  <si>
    <t>Box-shaped prism-3</t>
  </si>
  <si>
    <t>Box-shaped prism-2</t>
  </si>
  <si>
    <t>Box-shaped prism-1</t>
  </si>
  <si>
    <t>Cylinder-50</t>
  </si>
  <si>
    <t>Cylinder-49</t>
  </si>
  <si>
    <t>Cylinder-48</t>
  </si>
  <si>
    <t>Cylinder-47</t>
  </si>
  <si>
    <t>Cylinder-46</t>
  </si>
  <si>
    <t>Cylinder-45</t>
  </si>
  <si>
    <t>Cylinder-44</t>
  </si>
  <si>
    <t>Cylinder-43</t>
  </si>
  <si>
    <t>Cylinder-42</t>
  </si>
  <si>
    <t>Cylinder-41</t>
  </si>
  <si>
    <t>Cylinder-40</t>
  </si>
  <si>
    <t>Cylinder-39</t>
  </si>
  <si>
    <t>Cylinder-38</t>
  </si>
  <si>
    <t>Cylinder-37</t>
  </si>
  <si>
    <t>Cylinder-36</t>
  </si>
  <si>
    <t>Cylinder-35</t>
  </si>
  <si>
    <t>Cylinder-34</t>
  </si>
  <si>
    <t>Cylinder-33</t>
  </si>
  <si>
    <t>Cylinder-32</t>
  </si>
  <si>
    <t>Cylinder-31</t>
  </si>
  <si>
    <t>Cylinder-30</t>
  </si>
  <si>
    <t>Height(mm)</t>
  </si>
  <si>
    <t>Wedge-Shaped-50</t>
  </si>
  <si>
    <t>Wedge-Shaped-49</t>
  </si>
  <si>
    <t>Wedge-Shaped-48</t>
  </si>
  <si>
    <t>Wedge-Shaped-47</t>
  </si>
  <si>
    <t>Wedge-Shaped-46</t>
  </si>
  <si>
    <t>Wedge-Shaped-45</t>
  </si>
  <si>
    <t>Wedge-Shaped-44</t>
  </si>
  <si>
    <t>Wedge-Shaped-43</t>
  </si>
  <si>
    <t>Wedge-Shaped-42</t>
  </si>
  <si>
    <t>Wedge-Shaped-41</t>
  </si>
  <si>
    <t>Wedge-Shaped-40</t>
  </si>
  <si>
    <t>Wedge-Shaped-39</t>
  </si>
  <si>
    <t>Wedge-Shaped-38</t>
  </si>
  <si>
    <t>Wedge-Shaped-37</t>
  </si>
  <si>
    <t>Wedge-Shaped-36</t>
  </si>
  <si>
    <t>Wedge-Shaped-35</t>
  </si>
  <si>
    <t>Wedge-Shaped-34</t>
  </si>
  <si>
    <t>Wedge-Shaped-33</t>
  </si>
  <si>
    <t>Wedge-Shaped-32</t>
  </si>
  <si>
    <t>Wedge-Shaped-31</t>
  </si>
  <si>
    <t>Wedge-Shaped-30</t>
  </si>
  <si>
    <t>Wedge-Shaped-29</t>
  </si>
  <si>
    <t>Wedge-Shaped-28</t>
  </si>
  <si>
    <t>Wedge-Shaped-27</t>
  </si>
  <si>
    <t>Wedge-Shaped-26</t>
  </si>
  <si>
    <t>Wedge-Shaped-25</t>
  </si>
  <si>
    <t>Wedge-Shaped-24</t>
  </si>
  <si>
    <t>Wedge-Shaped-23</t>
  </si>
  <si>
    <t>Wedge-Shaped-22</t>
  </si>
  <si>
    <t>Wedge-Shaped-21</t>
  </si>
  <si>
    <t>Wedge-Shaped-20</t>
  </si>
  <si>
    <t>Wedge-Shaped-19</t>
  </si>
  <si>
    <t>Wedge-Shaped-18</t>
  </si>
  <si>
    <t>Wedge-Shaped-17</t>
  </si>
  <si>
    <t>Wedge-Shaped-16</t>
  </si>
  <si>
    <t>Wedge-Shaped-15</t>
  </si>
  <si>
    <t>Wedge-Shaped-14</t>
  </si>
  <si>
    <t>Wedge-Shaped-13</t>
  </si>
  <si>
    <t>Wedge-Shaped-12</t>
  </si>
  <si>
    <t>Wedge-Shaped-11</t>
  </si>
  <si>
    <t>Wedge-Shaped-10</t>
  </si>
  <si>
    <t>Wedge-Shaped-9</t>
  </si>
  <si>
    <t>Wedge-Shaped-8</t>
  </si>
  <si>
    <t>Wedge-Shaped-7</t>
  </si>
  <si>
    <t>Wedge-Shaped-6</t>
  </si>
  <si>
    <t>Wedge-Shaped-5</t>
  </si>
  <si>
    <t>Wedge-Shaped-4</t>
  </si>
  <si>
    <t>Wedge-Shaped-3</t>
  </si>
  <si>
    <t>Wedge-Shaped-2</t>
  </si>
  <si>
    <t xml:space="preserve">25.11.2023 tarihinde yapılan  deneyde 5 adet HC seçildi. Numaraları (11-15-21-26-32) </t>
  </si>
  <si>
    <t xml:space="preserve">17.11.2023 tarihinde yapılan  deneyde 5 adet HC seçildi. Numaraları (6-12) </t>
  </si>
  <si>
    <t>13.11.2023 tarihinde deney yapılmadı deney düzeneğinin içi yıkandı ve tüm kayıplar bulundu.</t>
  </si>
  <si>
    <t xml:space="preserve">10.11.2023 tarihinde yapılan  deneyde(part2) 2 adet HC seçildi. Numaraları (6-12) </t>
  </si>
  <si>
    <t xml:space="preserve">06.11.2023 tarihinde yapılan  deneyde(part2) 2 adet HC seçildi. Numaraları (5-9) </t>
  </si>
  <si>
    <t>06.11.2023 tarihinde yapılan  deneyde 2 adet HC seçildi. Numaraları (4-30) 30 kayıp</t>
  </si>
  <si>
    <t>03.11.2023 tarihinde yapılan  deneyde 2 adet HC seçildi. Numaraları (3-25) ikisi de kaybedildi</t>
  </si>
  <si>
    <t>01.11.2023 tarihinde yapılan  deneyde 2 adet HC seçildi. Numaraları (2-23). 23 numara kaybedildi</t>
  </si>
  <si>
    <t>27.10.2023 tarihinde yapılan ikinci deneyde 5 adet HC seçildi. Numaraları (1-10-28-34-49). 28 numara kaybedildi.</t>
  </si>
  <si>
    <t>Elliptical Half Cylinder-50</t>
  </si>
  <si>
    <t>Elliptical Half Cylinder-49</t>
  </si>
  <si>
    <t>Elliptical Half Cylinder-48</t>
  </si>
  <si>
    <t>Elliptical Half Cylinder-47</t>
  </si>
  <si>
    <t>Elliptical Half Cylinder-46</t>
  </si>
  <si>
    <t>Elliptical Half Cylinder-45</t>
  </si>
  <si>
    <t>Elliptical Half Cylinder-44</t>
  </si>
  <si>
    <t>Elliptical Half Cylinder-43</t>
  </si>
  <si>
    <t>Elliptical Half Cylinder-42</t>
  </si>
  <si>
    <t>Elliptical Half Cylinder-41</t>
  </si>
  <si>
    <t>Elliptical Half Cylinder-40</t>
  </si>
  <si>
    <t>Elliptical Half Cylinder-39</t>
  </si>
  <si>
    <t>Elliptical Half Cylinder-38</t>
  </si>
  <si>
    <t>Elliptical Half Cylinder-37</t>
  </si>
  <si>
    <t>Elliptical Half Cylinder-36</t>
  </si>
  <si>
    <t>Elliptical Half Cylinder-35</t>
  </si>
  <si>
    <t>Elliptical Half Cylinder-34</t>
  </si>
  <si>
    <t>Elliptical Half Cylinder-33</t>
  </si>
  <si>
    <t>Elliptical Half Cylinder-32</t>
  </si>
  <si>
    <t>Elliptical Half Cylinder-31</t>
  </si>
  <si>
    <t>Elliptical Half Cylinder-30</t>
  </si>
  <si>
    <t>Elliptical Half Cylinder-29</t>
  </si>
  <si>
    <t>Elliptical Half Cylinder-28</t>
  </si>
  <si>
    <t>Elliptical Half Cylinder-27</t>
  </si>
  <si>
    <t>Elliptical Half Cylinder-26</t>
  </si>
  <si>
    <t>Elliptical Half Cylinder-25</t>
  </si>
  <si>
    <t>Elliptical Half Cylinder-24</t>
  </si>
  <si>
    <t>Elliptical Half Cylinder-23</t>
  </si>
  <si>
    <t>Elliptical Half Cylinder-22</t>
  </si>
  <si>
    <t>Elliptical Half Cylinder-21</t>
  </si>
  <si>
    <t>Elliptical Half Cylinder-20</t>
  </si>
  <si>
    <t>Elliptical Half Cylinder-19</t>
  </si>
  <si>
    <t>Elliptical Half Cylinder-18</t>
  </si>
  <si>
    <t>Elliptical Half Cylinder-17</t>
  </si>
  <si>
    <t>Elliptical Half Cylinder-16</t>
  </si>
  <si>
    <t>Elliptical Half Cylinder-15</t>
  </si>
  <si>
    <t>Elliptical Half Cylinder-14</t>
  </si>
  <si>
    <t>Elliptical Half Cylinder-13</t>
  </si>
  <si>
    <t>Elliptical Half Cylinder-12</t>
  </si>
  <si>
    <t>Elliptical Half Cylinder-11</t>
  </si>
  <si>
    <t>Elliptical Half Cylinder-10</t>
  </si>
  <si>
    <t>Elliptical Half Cylinder-9</t>
  </si>
  <si>
    <t>Elliptical Half Cylinder-8</t>
  </si>
  <si>
    <t>Elliptical Half Cylinder-7</t>
  </si>
  <si>
    <t>Elliptical Half Cylinder-6</t>
  </si>
  <si>
    <t>Elliptical Half Cylinder-5</t>
  </si>
  <si>
    <t>Elliptical Half Cylinder-4</t>
  </si>
  <si>
    <t>Elliptical Half Cylinder-3</t>
  </si>
  <si>
    <t>Elliptical Half Cylinder-2</t>
  </si>
  <si>
    <t>Elliptical Half Cylinder-1</t>
  </si>
  <si>
    <t>Radius (mm)</t>
  </si>
  <si>
    <t>Yarıçap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</si>
</sst>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#,##0.00000"/>
    <numFmt numFmtId="167" formatCode="0.00000"/>
    <numFmt numFmtId="168" formatCode="0.000000"/>
  </numFmts>
  <fonts count="20" x14ac:knownFonts="1">
    <font>
      <sz val="11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1"/>
      <name val="Arial"/>
      <family val="2"/>
      <charset val="162"/>
    </font>
    <font>
      <sz val="11"/>
      <color rgb="FF006100"/>
      <name val="Calibri"/>
      <family val="2"/>
      <charset val="16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b/>
      <sz val="12"/>
      <color theme="1"/>
      <name val="Arial"/>
      <family val="2"/>
    </font>
    <font>
      <sz val="12"/>
      <color rgb="FF006100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6EFCE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7" borderId="0" applyNumberFormat="0" applyBorder="0" applyAlignment="0" applyProtection="0"/>
  </cellStyleXfs>
  <cellXfs count="116">
    <xf numFmtId="0" fontId="0" fillId="0" borderId="0" xfId="0"/>
    <xf numFmtId="0" fontId="1" fillId="0" borderId="1" xfId="0" applyFont="1" applyBorder="1"/>
    <xf numFmtId="0" fontId="1" fillId="0" borderId="0" xfId="0" applyFont="1"/>
    <xf numFmtId="0" fontId="0" fillId="0" borderId="1" xfId="0" applyBorder="1"/>
    <xf numFmtId="165" fontId="3" fillId="0" borderId="0" xfId="0" applyNumberFormat="1" applyFont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6" borderId="2" xfId="0" applyNumberFormat="1" applyFont="1" applyFill="1" applyBorder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165" fontId="3" fillId="5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2" fontId="1" fillId="0" borderId="0" xfId="0" applyNumberFormat="1" applyFont="1"/>
    <xf numFmtId="0" fontId="3" fillId="0" borderId="0" xfId="0" applyFont="1"/>
    <xf numFmtId="165" fontId="3" fillId="0" borderId="2" xfId="0" applyNumberFormat="1" applyFont="1" applyBorder="1" applyAlignment="1">
      <alignment horizontal="left" vertical="center"/>
    </xf>
    <xf numFmtId="165" fontId="5" fillId="0" borderId="2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/>
    <xf numFmtId="166" fontId="3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vertical="center"/>
    </xf>
    <xf numFmtId="2" fontId="7" fillId="0" borderId="2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/>
    </xf>
    <xf numFmtId="165" fontId="3" fillId="3" borderId="2" xfId="0" applyNumberFormat="1" applyFont="1" applyFill="1" applyBorder="1" applyAlignment="1">
      <alignment horizontal="left" vertical="center"/>
    </xf>
    <xf numFmtId="165" fontId="3" fillId="3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Border="1" applyAlignment="1">
      <alignment horizontal="center" vertical="center"/>
    </xf>
    <xf numFmtId="2" fontId="4" fillId="3" borderId="2" xfId="0" applyNumberFormat="1" applyFont="1" applyFill="1" applyBorder="1" applyAlignment="1">
      <alignment horizontal="center" vertical="center"/>
    </xf>
    <xf numFmtId="0" fontId="0" fillId="3" borderId="0" xfId="0" applyFill="1"/>
    <xf numFmtId="0" fontId="9" fillId="0" borderId="0" xfId="0" applyFont="1"/>
    <xf numFmtId="0" fontId="10" fillId="0" borderId="0" xfId="0" applyFont="1"/>
    <xf numFmtId="164" fontId="9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168" fontId="9" fillId="0" borderId="0" xfId="0" applyNumberFormat="1" applyFont="1" applyAlignment="1">
      <alignment horizontal="center"/>
    </xf>
    <xf numFmtId="164" fontId="11" fillId="0" borderId="0" xfId="0" applyNumberFormat="1" applyFont="1" applyAlignment="1">
      <alignment horizontal="center"/>
    </xf>
    <xf numFmtId="2" fontId="10" fillId="6" borderId="0" xfId="0" applyNumberFormat="1" applyFont="1" applyFill="1" applyAlignment="1">
      <alignment horizontal="center"/>
    </xf>
    <xf numFmtId="164" fontId="9" fillId="6" borderId="0" xfId="0" applyNumberFormat="1" applyFont="1" applyFill="1" applyAlignment="1">
      <alignment horizontal="center"/>
    </xf>
    <xf numFmtId="0" fontId="12" fillId="0" borderId="0" xfId="0" applyFont="1"/>
    <xf numFmtId="2" fontId="13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/>
    <xf numFmtId="164" fontId="14" fillId="0" borderId="0" xfId="1" applyNumberFormat="1" applyFont="1" applyFill="1" applyBorder="1" applyAlignment="1">
      <alignment horizontal="center"/>
    </xf>
    <xf numFmtId="2" fontId="12" fillId="6" borderId="0" xfId="0" applyNumberFormat="1" applyFont="1" applyFill="1" applyAlignment="1">
      <alignment horizontal="center"/>
    </xf>
    <xf numFmtId="164" fontId="12" fillId="6" borderId="0" xfId="0" applyNumberFormat="1" applyFont="1" applyFill="1"/>
    <xf numFmtId="2" fontId="15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2" fontId="9" fillId="6" borderId="0" xfId="0" applyNumberFormat="1" applyFont="1" applyFill="1" applyAlignment="1">
      <alignment horizontal="center"/>
    </xf>
    <xf numFmtId="164" fontId="1" fillId="6" borderId="0" xfId="0" applyNumberFormat="1" applyFont="1" applyFill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15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2" fontId="16" fillId="0" borderId="0" xfId="0" applyNumberFormat="1" applyFont="1"/>
    <xf numFmtId="164" fontId="16" fillId="0" borderId="0" xfId="0" applyNumberFormat="1" applyFont="1" applyAlignment="1">
      <alignment horizontal="center"/>
    </xf>
    <xf numFmtId="2" fontId="16" fillId="6" borderId="0" xfId="0" applyNumberFormat="1" applyFont="1" applyFill="1" applyAlignment="1">
      <alignment horizontal="center"/>
    </xf>
    <xf numFmtId="164" fontId="16" fillId="6" borderId="0" xfId="0" applyNumberFormat="1" applyFont="1" applyFill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165" fontId="3" fillId="0" borderId="2" xfId="0" quotePrefix="1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quotePrefix="1" applyNumberFormat="1" applyFont="1" applyBorder="1" applyAlignment="1">
      <alignment horizontal="center" vertical="center"/>
    </xf>
    <xf numFmtId="165" fontId="3" fillId="0" borderId="4" xfId="0" quotePrefix="1" applyNumberFormat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" fontId="3" fillId="0" borderId="2" xfId="0" quotePrefix="1" applyNumberFormat="1" applyFont="1" applyBorder="1" applyAlignment="1">
      <alignment horizontal="center" vertical="center"/>
    </xf>
    <xf numFmtId="4" fontId="3" fillId="0" borderId="2" xfId="0" applyNumberFormat="1" applyFont="1" applyBorder="1" applyAlignment="1">
      <alignment horizontal="center" vertical="center"/>
    </xf>
    <xf numFmtId="2" fontId="4" fillId="6" borderId="2" xfId="0" applyNumberFormat="1" applyFont="1" applyFill="1" applyBorder="1" applyAlignment="1">
      <alignment horizontal="center" vertical="center"/>
    </xf>
    <xf numFmtId="164" fontId="9" fillId="0" borderId="0" xfId="0" applyNumberFormat="1" applyFont="1" applyAlignment="1">
      <alignment horizontal="center"/>
    </xf>
    <xf numFmtId="164" fontId="9" fillId="6" borderId="0" xfId="0" applyNumberFormat="1" applyFont="1" applyFill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quotePrefix="1" applyNumberFormat="1" applyFont="1" applyAlignment="1">
      <alignment horizontal="center"/>
    </xf>
    <xf numFmtId="164" fontId="12" fillId="6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164" fontId="18" fillId="0" borderId="0" xfId="0" applyNumberFormat="1" applyFont="1"/>
    <xf numFmtId="164" fontId="18" fillId="0" borderId="0" xfId="0" applyNumberFormat="1" applyFont="1" applyAlignment="1">
      <alignment horizontal="center" vertical="center"/>
    </xf>
    <xf numFmtId="164" fontId="19" fillId="0" borderId="2" xfId="0" applyNumberFormat="1" applyFont="1" applyBorder="1"/>
    <xf numFmtId="164" fontId="7" fillId="5" borderId="2" xfId="0" applyNumberFormat="1" applyFont="1" applyFill="1" applyBorder="1" applyAlignment="1">
      <alignment horizontal="center" vertical="center"/>
    </xf>
    <xf numFmtId="164" fontId="19" fillId="0" borderId="2" xfId="0" applyNumberFormat="1" applyFont="1" applyBorder="1" applyAlignment="1">
      <alignment horizontal="left" vertical="center"/>
    </xf>
    <xf numFmtId="164" fontId="19" fillId="0" borderId="2" xfId="0" applyNumberFormat="1" applyFont="1" applyBorder="1" applyAlignment="1">
      <alignment horizontal="center" vertical="center"/>
    </xf>
    <xf numFmtId="164" fontId="19" fillId="2" borderId="2" xfId="0" applyNumberFormat="1" applyFont="1" applyFill="1" applyBorder="1" applyAlignment="1">
      <alignment horizontal="center" vertical="center"/>
    </xf>
    <xf numFmtId="167" fontId="19" fillId="0" borderId="2" xfId="0" applyNumberFormat="1" applyFont="1" applyBorder="1" applyAlignment="1">
      <alignment horizontal="center" vertical="center"/>
    </xf>
    <xf numFmtId="164" fontId="7" fillId="5" borderId="2" xfId="0" applyNumberFormat="1" applyFont="1" applyFill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2" xfId="0" applyFont="1" applyBorder="1"/>
    <xf numFmtId="2" fontId="19" fillId="0" borderId="0" xfId="0" applyNumberFormat="1" applyFont="1"/>
    <xf numFmtId="2" fontId="7" fillId="5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2" fontId="7" fillId="5" borderId="2" xfId="0" applyNumberFormat="1" applyFont="1" applyFill="1" applyBorder="1" applyAlignment="1">
      <alignment horizontal="center"/>
    </xf>
    <xf numFmtId="2" fontId="7" fillId="6" borderId="2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2" fontId="19" fillId="0" borderId="2" xfId="0" applyNumberFormat="1" applyFont="1" applyBorder="1" applyAlignment="1">
      <alignment horizontal="center"/>
    </xf>
    <xf numFmtId="167" fontId="19" fillId="0" borderId="2" xfId="0" applyNumberFormat="1" applyFont="1" applyBorder="1" applyAlignment="1">
      <alignment horizontal="center"/>
    </xf>
    <xf numFmtId="0" fontId="19" fillId="5" borderId="2" xfId="0" applyFont="1" applyFill="1" applyBorder="1" applyAlignment="1">
      <alignment horizontal="center" vertical="center"/>
    </xf>
    <xf numFmtId="2" fontId="7" fillId="0" borderId="2" xfId="0" applyNumberFormat="1" applyFont="1" applyBorder="1" applyAlignment="1">
      <alignment horizontal="center"/>
    </xf>
    <xf numFmtId="0" fontId="7" fillId="5" borderId="2" xfId="0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2" fontId="7" fillId="5" borderId="2" xfId="0" applyNumberFormat="1" applyFont="1" applyFill="1" applyBorder="1" applyAlignment="1">
      <alignment horizontal="center" vertical="center"/>
    </xf>
    <xf numFmtId="2" fontId="19" fillId="0" borderId="0" xfId="0" applyNumberFormat="1" applyFont="1" applyAlignment="1">
      <alignment horizontal="center"/>
    </xf>
    <xf numFmtId="0" fontId="19" fillId="0" borderId="2" xfId="0" applyFont="1" applyBorder="1" applyAlignment="1">
      <alignment horizontal="center" vertical="center"/>
    </xf>
    <xf numFmtId="4" fontId="19" fillId="0" borderId="2" xfId="0" applyNumberFormat="1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9" fillId="0" borderId="2" xfId="0" quotePrefix="1" applyNumberFormat="1" applyFont="1" applyBorder="1" applyAlignment="1">
      <alignment horizontal="center"/>
    </xf>
    <xf numFmtId="166" fontId="19" fillId="0" borderId="2" xfId="0" applyNumberFormat="1" applyFont="1" applyBorder="1" applyAlignment="1">
      <alignment horizontal="center"/>
    </xf>
    <xf numFmtId="0" fontId="7" fillId="0" borderId="2" xfId="0" applyFont="1" applyBorder="1"/>
    <xf numFmtId="2" fontId="3" fillId="0" borderId="2" xfId="0" applyNumberFormat="1" applyFont="1" applyFill="1" applyBorder="1" applyAlignment="1">
      <alignment horizontal="center" vertical="center"/>
    </xf>
    <xf numFmtId="165" fontId="3" fillId="0" borderId="2" xfId="0" applyNumberFormat="1" applyFont="1" applyFill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Z19"/>
  <sheetViews>
    <sheetView topLeftCell="D1" workbookViewId="0">
      <selection activeCell="F7" sqref="F7"/>
    </sheetView>
  </sheetViews>
  <sheetFormatPr defaultColWidth="11.42578125" defaultRowHeight="15" x14ac:dyDescent="0.25"/>
  <cols>
    <col min="2" max="2" width="15.28515625" customWidth="1"/>
    <col min="3" max="3" width="13.140625" customWidth="1"/>
    <col min="4" max="4" width="15.7109375" customWidth="1"/>
    <col min="5" max="5" width="13.28515625" customWidth="1"/>
    <col min="6" max="6" width="15.7109375" customWidth="1"/>
    <col min="7" max="7" width="13.28515625" customWidth="1"/>
    <col min="8" max="8" width="15.7109375" customWidth="1"/>
    <col min="9" max="9" width="13.28515625" customWidth="1"/>
    <col min="10" max="10" width="15.7109375" bestFit="1" customWidth="1"/>
    <col min="11" max="11" width="13.28515625" bestFit="1" customWidth="1"/>
    <col min="12" max="12" width="15.7109375" bestFit="1" customWidth="1"/>
    <col min="13" max="13" width="16.28515625" bestFit="1" customWidth="1"/>
    <col min="14" max="14" width="0" hidden="1" customWidth="1"/>
    <col min="15" max="15" width="17.42578125" hidden="1" customWidth="1"/>
    <col min="16" max="16" width="22.42578125" hidden="1" customWidth="1"/>
    <col min="17" max="17" width="20.7109375" hidden="1" customWidth="1"/>
    <col min="18" max="18" width="26.42578125" customWidth="1"/>
    <col min="19" max="19" width="23.28515625" hidden="1" customWidth="1"/>
    <col min="20" max="20" width="25" hidden="1" customWidth="1"/>
    <col min="21" max="21" width="25.28515625" hidden="1" customWidth="1"/>
    <col min="22" max="22" width="29.28515625" hidden="1" customWidth="1"/>
    <col min="23" max="23" width="26" customWidth="1"/>
    <col min="24" max="24" width="20.140625" customWidth="1"/>
    <col min="25" max="25" width="22.5703125" bestFit="1" customWidth="1"/>
  </cols>
  <sheetData>
    <row r="1" spans="1:26" ht="18.75" x14ac:dyDescent="0.3">
      <c r="A1" s="8"/>
      <c r="B1" s="8"/>
      <c r="C1" s="8"/>
      <c r="D1" s="61" t="s">
        <v>0</v>
      </c>
      <c r="E1" s="61"/>
      <c r="F1" s="61" t="s">
        <v>1</v>
      </c>
      <c r="G1" s="61"/>
      <c r="H1" s="61" t="s">
        <v>2</v>
      </c>
      <c r="I1" s="61"/>
      <c r="J1" s="61" t="s">
        <v>3</v>
      </c>
      <c r="K1" s="61"/>
      <c r="L1" s="61" t="s">
        <v>4</v>
      </c>
      <c r="M1" s="61"/>
      <c r="N1" s="8"/>
      <c r="O1" s="8"/>
      <c r="P1" s="8"/>
      <c r="Q1" s="8"/>
      <c r="R1" s="8"/>
      <c r="S1" s="8"/>
      <c r="T1" s="8"/>
      <c r="U1" s="8"/>
      <c r="V1" s="8"/>
      <c r="W1" s="61" t="s">
        <v>5</v>
      </c>
      <c r="X1" s="61"/>
      <c r="Y1" s="2"/>
      <c r="Z1" s="2"/>
    </row>
    <row r="2" spans="1:26" ht="18.75" x14ac:dyDescent="0.3">
      <c r="A2" s="8" t="s">
        <v>6</v>
      </c>
      <c r="B2" s="8" t="s">
        <v>7</v>
      </c>
      <c r="C2" s="8" t="s">
        <v>8</v>
      </c>
      <c r="D2" s="14" t="s">
        <v>57</v>
      </c>
      <c r="E2" s="14" t="s">
        <v>58</v>
      </c>
      <c r="F2" s="14" t="s">
        <v>57</v>
      </c>
      <c r="G2" s="14" t="s">
        <v>58</v>
      </c>
      <c r="H2" s="14" t="s">
        <v>57</v>
      </c>
      <c r="I2" s="14" t="s">
        <v>58</v>
      </c>
      <c r="J2" s="14" t="s">
        <v>57</v>
      </c>
      <c r="K2" s="14" t="s">
        <v>58</v>
      </c>
      <c r="L2" s="14" t="s">
        <v>57</v>
      </c>
      <c r="M2" s="14" t="s">
        <v>58</v>
      </c>
      <c r="N2" s="61" t="s">
        <v>14</v>
      </c>
      <c r="O2" s="61"/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154</v>
      </c>
      <c r="Z2" s="15"/>
    </row>
    <row r="3" spans="1:26" x14ac:dyDescent="0.25">
      <c r="A3" s="6" t="s">
        <v>41</v>
      </c>
      <c r="B3" s="6" t="s">
        <v>24</v>
      </c>
      <c r="C3" s="18">
        <v>0.1176</v>
      </c>
      <c r="D3" s="18">
        <v>5.48</v>
      </c>
      <c r="E3" s="18">
        <v>5.3</v>
      </c>
      <c r="F3" s="18">
        <v>5.35</v>
      </c>
      <c r="G3" s="18">
        <v>5.33</v>
      </c>
      <c r="H3" s="18">
        <v>5.49</v>
      </c>
      <c r="I3" s="18">
        <v>5.25</v>
      </c>
      <c r="J3" s="18">
        <f>AVERAGE(D3,F3,H3)</f>
        <v>5.44</v>
      </c>
      <c r="K3" s="18">
        <f>AVERAGE(E3,G3,I3)</f>
        <v>5.293333333333333</v>
      </c>
      <c r="L3" s="19">
        <f>_xlfn.STDEV.S(D3,G3,I3)</f>
        <v>0.11676186592091352</v>
      </c>
      <c r="M3" s="18">
        <f t="shared" ref="M3:M19" si="0">_xlfn.STDEV.S(E3,G3,I3)</f>
        <v>4.0414518843273822E-2</v>
      </c>
      <c r="N3" s="62">
        <f t="shared" ref="N3:N19" si="1">PI()*(D3/2)^2*E3</f>
        <v>125.00485133228088</v>
      </c>
      <c r="O3" s="63"/>
      <c r="P3" s="5">
        <f t="shared" ref="P3:P19" si="2">PI()*(F3/2)^2*G3</f>
        <v>119.81871410672564</v>
      </c>
      <c r="Q3" s="5">
        <f t="shared" ref="Q3:Q19" si="3">PI()*(H3/3)^2*I3</f>
        <v>55.234618097436005</v>
      </c>
      <c r="R3" s="5">
        <f>AVERAGE(N3:Q3)</f>
        <v>100.01939451214751</v>
      </c>
      <c r="S3" s="5">
        <f t="shared" ref="S3:S19" si="4">C3/N3</f>
        <v>9.4076348834976238E-4</v>
      </c>
      <c r="T3" s="5">
        <f t="shared" ref="T3:T19" si="5">C3/P3</f>
        <v>9.8148274146266199E-4</v>
      </c>
      <c r="U3" s="5">
        <f t="shared" ref="U3:U19" si="6">C3/Q3</f>
        <v>2.1290995403018638E-3</v>
      </c>
      <c r="V3" s="5">
        <f>AVERAGE(S3:U3)</f>
        <v>1.350448590038096E-3</v>
      </c>
      <c r="W3" s="5">
        <f t="shared" ref="W3:W19" si="7">C3/R3</f>
        <v>1.1757719647634667E-3</v>
      </c>
      <c r="X3" s="5">
        <f>W3*10^6</f>
        <v>1175.7719647634667</v>
      </c>
      <c r="Y3" s="25">
        <f>2*PI()*J3/2*(J3/2+K3)</f>
        <v>136.9499824713682</v>
      </c>
    </row>
    <row r="4" spans="1:26" x14ac:dyDescent="0.25">
      <c r="A4" s="6" t="s">
        <v>41</v>
      </c>
      <c r="B4" s="6" t="s">
        <v>25</v>
      </c>
      <c r="C4" s="18">
        <v>0.1149</v>
      </c>
      <c r="D4" s="18">
        <v>5.54</v>
      </c>
      <c r="E4" s="18">
        <v>5.29</v>
      </c>
      <c r="F4" s="18">
        <v>5.53</v>
      </c>
      <c r="G4" s="18">
        <v>5.28</v>
      </c>
      <c r="H4" s="18">
        <v>5.4</v>
      </c>
      <c r="I4" s="18">
        <v>5.29</v>
      </c>
      <c r="J4" s="18">
        <f t="shared" ref="J4:K19" si="8">AVERAGE(D4,F4,H4)</f>
        <v>5.4899999999999993</v>
      </c>
      <c r="K4" s="18">
        <f t="shared" si="8"/>
        <v>5.2866666666666662</v>
      </c>
      <c r="L4" s="19">
        <f t="shared" ref="L4:L19" si="9">_xlfn.STDEV.S(D4,G4,I4)</f>
        <v>0.14730919862656228</v>
      </c>
      <c r="M4" s="18">
        <f t="shared" si="0"/>
        <v>5.7735026918961348E-3</v>
      </c>
      <c r="N4" s="62">
        <f t="shared" si="1"/>
        <v>127.51611797744707</v>
      </c>
      <c r="O4" s="63"/>
      <c r="P4" s="5">
        <f t="shared" si="2"/>
        <v>126.81600462981665</v>
      </c>
      <c r="Q4" s="5">
        <f t="shared" si="3"/>
        <v>53.845641445467621</v>
      </c>
      <c r="R4" s="5">
        <f t="shared" ref="R4:R19" si="10">AVERAGE(N4:Q4)</f>
        <v>102.72592135091044</v>
      </c>
      <c r="S4" s="5">
        <f t="shared" si="4"/>
        <v>9.010625623054303E-4</v>
      </c>
      <c r="T4" s="5">
        <f t="shared" si="5"/>
        <v>9.0603706003354893E-4</v>
      </c>
      <c r="U4" s="5">
        <f t="shared" si="6"/>
        <v>2.1338774488621408E-3</v>
      </c>
      <c r="V4" s="5">
        <f t="shared" ref="V4:V19" si="11">AVERAGE(S4:U4)</f>
        <v>1.3136590237337066E-3</v>
      </c>
      <c r="W4" s="5">
        <f t="shared" si="7"/>
        <v>1.1185102892141805E-3</v>
      </c>
      <c r="X4" s="5">
        <f t="shared" ref="X4:X19" si="12">W4*10^6</f>
        <v>1118.5102892141804</v>
      </c>
      <c r="Y4" s="25">
        <f t="shared" ref="Y4:Y19" si="13">2*PI()*J4/2*(J4/2+K4)</f>
        <v>138.52491522849027</v>
      </c>
    </row>
    <row r="5" spans="1:26" x14ac:dyDescent="0.25">
      <c r="A5" s="6" t="s">
        <v>41</v>
      </c>
      <c r="B5" s="6" t="s">
        <v>26</v>
      </c>
      <c r="C5" s="18">
        <v>0.1134</v>
      </c>
      <c r="D5" s="18">
        <v>5.47</v>
      </c>
      <c r="E5" s="18">
        <v>5.23</v>
      </c>
      <c r="F5" s="18">
        <v>5.41</v>
      </c>
      <c r="G5" s="18">
        <v>5.28</v>
      </c>
      <c r="H5" s="18">
        <v>5.46</v>
      </c>
      <c r="I5" s="18">
        <v>5.19</v>
      </c>
      <c r="J5" s="18">
        <f t="shared" si="8"/>
        <v>5.4466666666666663</v>
      </c>
      <c r="K5" s="18">
        <f t="shared" si="8"/>
        <v>5.2333333333333343</v>
      </c>
      <c r="L5" s="19">
        <f t="shared" si="9"/>
        <v>0.14294521094927679</v>
      </c>
      <c r="M5" s="18">
        <f t="shared" si="0"/>
        <v>4.5092497528228866E-2</v>
      </c>
      <c r="N5" s="62">
        <f t="shared" si="1"/>
        <v>122.90405811464925</v>
      </c>
      <c r="O5" s="63"/>
      <c r="P5" s="5">
        <f t="shared" si="2"/>
        <v>121.37195128678148</v>
      </c>
      <c r="Q5" s="5">
        <f t="shared" si="3"/>
        <v>54.008237714846821</v>
      </c>
      <c r="R5" s="5">
        <f t="shared" si="10"/>
        <v>99.428082372092504</v>
      </c>
      <c r="S5" s="5">
        <f t="shared" si="4"/>
        <v>9.226709169701824E-4</v>
      </c>
      <c r="T5" s="5">
        <f t="shared" si="5"/>
        <v>9.3431801003227585E-4</v>
      </c>
      <c r="U5" s="5">
        <f t="shared" si="6"/>
        <v>2.0996796932855012E-3</v>
      </c>
      <c r="V5" s="5">
        <f t="shared" si="11"/>
        <v>1.3188895400959866E-3</v>
      </c>
      <c r="W5" s="5">
        <f t="shared" si="7"/>
        <v>1.140522851236535E-3</v>
      </c>
      <c r="X5" s="5">
        <f t="shared" si="12"/>
        <v>1140.522851236535</v>
      </c>
      <c r="Y5" s="25">
        <f t="shared" si="13"/>
        <v>136.14817821300198</v>
      </c>
    </row>
    <row r="6" spans="1:26" x14ac:dyDescent="0.25">
      <c r="A6" s="6" t="s">
        <v>41</v>
      </c>
      <c r="B6" s="6" t="s">
        <v>27</v>
      </c>
      <c r="C6" s="18">
        <v>0.1137</v>
      </c>
      <c r="D6" s="18">
        <v>5.4</v>
      </c>
      <c r="E6" s="18">
        <v>5.25</v>
      </c>
      <c r="F6" s="18">
        <v>5.39</v>
      </c>
      <c r="G6" s="18">
        <v>5.22</v>
      </c>
      <c r="H6" s="18">
        <v>5.4</v>
      </c>
      <c r="I6" s="18">
        <v>5.25</v>
      </c>
      <c r="J6" s="18">
        <f t="shared" si="8"/>
        <v>5.3966666666666656</v>
      </c>
      <c r="K6" s="18">
        <f t="shared" si="8"/>
        <v>5.2399999999999993</v>
      </c>
      <c r="L6" s="19">
        <f t="shared" si="9"/>
        <v>9.6436507609929847E-2</v>
      </c>
      <c r="M6" s="18">
        <f t="shared" si="0"/>
        <v>1.7320508075688915E-2</v>
      </c>
      <c r="N6" s="64">
        <f t="shared" si="1"/>
        <v>120.23660483451538</v>
      </c>
      <c r="O6" s="65"/>
      <c r="P6" s="5">
        <f t="shared" si="2"/>
        <v>119.1071724304196</v>
      </c>
      <c r="Q6" s="5">
        <f t="shared" si="3"/>
        <v>53.438491037562386</v>
      </c>
      <c r="R6" s="5">
        <f t="shared" si="10"/>
        <v>97.594089434165781</v>
      </c>
      <c r="S6" s="5">
        <f t="shared" si="4"/>
        <v>9.4563548394008734E-4</v>
      </c>
      <c r="T6" s="5">
        <f t="shared" si="5"/>
        <v>9.5460246163111314E-4</v>
      </c>
      <c r="U6" s="5">
        <f t="shared" si="6"/>
        <v>2.1276798388651969E-3</v>
      </c>
      <c r="V6" s="5">
        <f t="shared" si="11"/>
        <v>1.3426392614787992E-3</v>
      </c>
      <c r="W6" s="5">
        <f t="shared" si="7"/>
        <v>1.1650295695078831E-3</v>
      </c>
      <c r="X6" s="5">
        <f t="shared" si="12"/>
        <v>1165.029569507883</v>
      </c>
      <c r="Y6" s="25">
        <f t="shared" si="13"/>
        <v>134.58752224916114</v>
      </c>
    </row>
    <row r="7" spans="1:26" x14ac:dyDescent="0.25">
      <c r="A7" s="6" t="s">
        <v>41</v>
      </c>
      <c r="B7" s="6" t="s">
        <v>28</v>
      </c>
      <c r="C7" s="18">
        <v>0.1128</v>
      </c>
      <c r="D7" s="18">
        <v>5.33</v>
      </c>
      <c r="E7" s="18">
        <v>5.26</v>
      </c>
      <c r="F7" s="18">
        <v>5.44</v>
      </c>
      <c r="G7" s="18">
        <v>5.3</v>
      </c>
      <c r="H7" s="18">
        <v>5.45</v>
      </c>
      <c r="I7" s="18">
        <v>5.27</v>
      </c>
      <c r="J7" s="18">
        <f t="shared" si="8"/>
        <v>5.4066666666666663</v>
      </c>
      <c r="K7" s="18">
        <f t="shared" si="8"/>
        <v>5.2766666666666664</v>
      </c>
      <c r="L7" s="19">
        <f t="shared" si="9"/>
        <v>3.0000000000000249E-2</v>
      </c>
      <c r="M7" s="18">
        <f t="shared" si="0"/>
        <v>2.0816659994661379E-2</v>
      </c>
      <c r="N7" s="62">
        <f t="shared" si="1"/>
        <v>117.36268687058569</v>
      </c>
      <c r="O7" s="63"/>
      <c r="P7" s="5">
        <f t="shared" si="2"/>
        <v>123.18662316808927</v>
      </c>
      <c r="Q7" s="5">
        <f t="shared" si="3"/>
        <v>54.64003678115909</v>
      </c>
      <c r="R7" s="5">
        <f t="shared" si="10"/>
        <v>98.396448939944676</v>
      </c>
      <c r="S7" s="5">
        <f t="shared" si="4"/>
        <v>9.6112319006792248E-4</v>
      </c>
      <c r="T7" s="5">
        <f t="shared" si="5"/>
        <v>9.156838388700969E-4</v>
      </c>
      <c r="U7" s="5">
        <f t="shared" si="6"/>
        <v>2.0644202794331858E-3</v>
      </c>
      <c r="V7" s="5">
        <f t="shared" si="11"/>
        <v>1.3137424361237351E-3</v>
      </c>
      <c r="W7" s="5">
        <f t="shared" si="7"/>
        <v>1.1463828340883154E-3</v>
      </c>
      <c r="X7" s="5">
        <f t="shared" si="12"/>
        <v>1146.3828340883153</v>
      </c>
      <c r="Y7" s="25">
        <f t="shared" si="13"/>
        <v>135.54464335766232</v>
      </c>
    </row>
    <row r="8" spans="1:26" x14ac:dyDescent="0.25">
      <c r="A8" s="6" t="s">
        <v>41</v>
      </c>
      <c r="B8" s="6" t="s">
        <v>29</v>
      </c>
      <c r="C8" s="18">
        <v>0.1186</v>
      </c>
      <c r="D8" s="18">
        <v>5.63</v>
      </c>
      <c r="E8" s="18">
        <v>5.32</v>
      </c>
      <c r="F8" s="18">
        <v>5.48</v>
      </c>
      <c r="G8" s="18">
        <v>5.4</v>
      </c>
      <c r="H8" s="18">
        <v>5.51</v>
      </c>
      <c r="I8" s="18">
        <v>5.39</v>
      </c>
      <c r="J8" s="18">
        <f t="shared" si="8"/>
        <v>5.5399999999999991</v>
      </c>
      <c r="K8" s="18">
        <f t="shared" si="8"/>
        <v>5.37</v>
      </c>
      <c r="L8" s="19">
        <f t="shared" si="9"/>
        <v>0.13576941236277529</v>
      </c>
      <c r="M8" s="18">
        <f t="shared" si="0"/>
        <v>4.3588989435406622E-2</v>
      </c>
      <c r="N8" s="62">
        <f t="shared" si="1"/>
        <v>132.43973508148852</v>
      </c>
      <c r="O8" s="63"/>
      <c r="P8" s="5">
        <f t="shared" si="2"/>
        <v>127.36343343288996</v>
      </c>
      <c r="Q8" s="5">
        <f t="shared" si="3"/>
        <v>57.121463532103931</v>
      </c>
      <c r="R8" s="5">
        <f t="shared" si="10"/>
        <v>105.64154401549415</v>
      </c>
      <c r="S8" s="5">
        <f t="shared" si="4"/>
        <v>8.9550164025189939E-4</v>
      </c>
      <c r="T8" s="5">
        <f t="shared" si="5"/>
        <v>9.3119348939735063E-4</v>
      </c>
      <c r="U8" s="5">
        <f t="shared" si="6"/>
        <v>2.076277333709129E-3</v>
      </c>
      <c r="V8" s="5">
        <f t="shared" si="11"/>
        <v>1.3009908211194597E-3</v>
      </c>
      <c r="W8" s="5">
        <f t="shared" si="7"/>
        <v>1.1226643940626735E-3</v>
      </c>
      <c r="X8" s="5">
        <f t="shared" si="12"/>
        <v>1122.6643940626736</v>
      </c>
      <c r="Y8" s="25">
        <f t="shared" si="13"/>
        <v>141.67200566922386</v>
      </c>
    </row>
    <row r="9" spans="1:26" x14ac:dyDescent="0.25">
      <c r="A9" s="6" t="s">
        <v>41</v>
      </c>
      <c r="B9" s="6" t="s">
        <v>30</v>
      </c>
      <c r="C9" s="18">
        <v>0.1182</v>
      </c>
      <c r="D9" s="18">
        <v>5.48</v>
      </c>
      <c r="E9" s="18">
        <v>5.37</v>
      </c>
      <c r="F9" s="18">
        <v>5.4</v>
      </c>
      <c r="G9" s="18">
        <v>5.34</v>
      </c>
      <c r="H9" s="18">
        <v>5.45</v>
      </c>
      <c r="I9" s="18">
        <v>5.37</v>
      </c>
      <c r="J9" s="18">
        <f t="shared" si="8"/>
        <v>5.4433333333333342</v>
      </c>
      <c r="K9" s="18">
        <f t="shared" si="8"/>
        <v>5.36</v>
      </c>
      <c r="L9" s="19">
        <f t="shared" si="9"/>
        <v>7.3711147958320219E-2</v>
      </c>
      <c r="M9" s="18">
        <f t="shared" si="0"/>
        <v>1.7320508075688915E-2</v>
      </c>
      <c r="N9" s="62">
        <f t="shared" si="1"/>
        <v>126.65585880270724</v>
      </c>
      <c r="O9" s="63"/>
      <c r="P9" s="5">
        <f t="shared" si="2"/>
        <v>122.29780377453564</v>
      </c>
      <c r="Q9" s="5">
        <f t="shared" si="3"/>
        <v>55.676849623306325</v>
      </c>
      <c r="R9" s="5">
        <f t="shared" si="10"/>
        <v>101.54350406684974</v>
      </c>
      <c r="S9" s="5">
        <f t="shared" si="4"/>
        <v>9.3323752345417363E-4</v>
      </c>
      <c r="T9" s="5">
        <f t="shared" si="5"/>
        <v>9.6649323497182153E-4</v>
      </c>
      <c r="U9" s="5">
        <f t="shared" si="6"/>
        <v>2.12296494503025E-3</v>
      </c>
      <c r="V9" s="5">
        <f t="shared" si="11"/>
        <v>1.3408985678187485E-3</v>
      </c>
      <c r="W9" s="5">
        <f t="shared" si="7"/>
        <v>1.1640331017352395E-3</v>
      </c>
      <c r="X9" s="5">
        <f t="shared" si="12"/>
        <v>1164.0331017352394</v>
      </c>
      <c r="Y9" s="25">
        <f t="shared" si="13"/>
        <v>138.20244819589186</v>
      </c>
    </row>
    <row r="10" spans="1:26" x14ac:dyDescent="0.25">
      <c r="A10" s="6" t="s">
        <v>41</v>
      </c>
      <c r="B10" s="6" t="s">
        <v>31</v>
      </c>
      <c r="C10" s="18">
        <v>0.11310000000000001</v>
      </c>
      <c r="D10" s="18">
        <v>5.25</v>
      </c>
      <c r="E10" s="18">
        <v>5.33</v>
      </c>
      <c r="F10" s="18">
        <v>5.3</v>
      </c>
      <c r="G10" s="18">
        <v>5.34</v>
      </c>
      <c r="H10" s="18">
        <v>5.34</v>
      </c>
      <c r="I10" s="18">
        <v>5.34</v>
      </c>
      <c r="J10" s="18">
        <f t="shared" si="8"/>
        <v>5.2966666666666669</v>
      </c>
      <c r="K10" s="18">
        <f t="shared" si="8"/>
        <v>5.336666666666666</v>
      </c>
      <c r="L10" s="19">
        <f t="shared" si="9"/>
        <v>5.1961524227066236E-2</v>
      </c>
      <c r="M10" s="18">
        <f t="shared" si="0"/>
        <v>5.7735026918961348E-3</v>
      </c>
      <c r="N10" s="62">
        <f t="shared" si="1"/>
        <v>115.38137156316276</v>
      </c>
      <c r="O10" s="63"/>
      <c r="P10" s="5">
        <f t="shared" si="2"/>
        <v>117.81019574851528</v>
      </c>
      <c r="Q10" s="5">
        <f t="shared" si="3"/>
        <v>53.153410353805036</v>
      </c>
      <c r="R10" s="5">
        <f t="shared" si="10"/>
        <v>95.448325888494367</v>
      </c>
      <c r="S10" s="5">
        <f t="shared" si="4"/>
        <v>9.8022755725421518E-4</v>
      </c>
      <c r="T10" s="5">
        <f t="shared" si="5"/>
        <v>9.6001877665520606E-4</v>
      </c>
      <c r="U10" s="5">
        <f t="shared" si="6"/>
        <v>2.1278032631805279E-3</v>
      </c>
      <c r="V10" s="5">
        <f t="shared" si="11"/>
        <v>1.3560165323633164E-3</v>
      </c>
      <c r="W10" s="5">
        <f t="shared" si="7"/>
        <v>1.1849343500495426E-3</v>
      </c>
      <c r="X10" s="5">
        <f t="shared" si="12"/>
        <v>1184.9343500495427</v>
      </c>
      <c r="Y10" s="25">
        <f t="shared" si="13"/>
        <v>132.87015317178378</v>
      </c>
    </row>
    <row r="11" spans="1:26" x14ac:dyDescent="0.25">
      <c r="A11" s="6" t="s">
        <v>41</v>
      </c>
      <c r="B11" s="6" t="s">
        <v>32</v>
      </c>
      <c r="C11" s="18">
        <v>7.0099999999999996E-2</v>
      </c>
      <c r="D11" s="18">
        <v>5.29</v>
      </c>
      <c r="E11" s="18">
        <v>3.25</v>
      </c>
      <c r="F11" s="18">
        <v>5.33</v>
      </c>
      <c r="G11" s="18">
        <v>3.29</v>
      </c>
      <c r="H11" s="18">
        <v>5.38</v>
      </c>
      <c r="I11" s="18">
        <v>3.26</v>
      </c>
      <c r="J11" s="18">
        <f t="shared" si="8"/>
        <v>5.333333333333333</v>
      </c>
      <c r="K11" s="18">
        <f t="shared" si="8"/>
        <v>3.2666666666666671</v>
      </c>
      <c r="L11" s="19">
        <f t="shared" si="9"/>
        <v>1.1634574909868149</v>
      </c>
      <c r="M11" s="18">
        <f t="shared" si="0"/>
        <v>2.0816659994661382E-2</v>
      </c>
      <c r="N11" s="62">
        <f t="shared" si="1"/>
        <v>71.430647419074234</v>
      </c>
      <c r="O11" s="63"/>
      <c r="P11" s="5">
        <f t="shared" si="2"/>
        <v>73.407460038826414</v>
      </c>
      <c r="Q11" s="5">
        <f t="shared" si="3"/>
        <v>32.937415216928876</v>
      </c>
      <c r="R11" s="5">
        <f t="shared" si="10"/>
        <v>59.258507558276513</v>
      </c>
      <c r="S11" s="5">
        <f t="shared" si="4"/>
        <v>9.8137147754986031E-4</v>
      </c>
      <c r="T11" s="5">
        <f t="shared" si="5"/>
        <v>9.5494381583183718E-4</v>
      </c>
      <c r="U11" s="5">
        <f t="shared" si="6"/>
        <v>2.1282787230969668E-3</v>
      </c>
      <c r="V11" s="5">
        <f t="shared" si="11"/>
        <v>1.3548646721595547E-3</v>
      </c>
      <c r="W11" s="5">
        <f t="shared" si="7"/>
        <v>1.182952505698218E-3</v>
      </c>
      <c r="X11" s="5">
        <f t="shared" si="12"/>
        <v>1182.9525056982179</v>
      </c>
      <c r="Y11" s="25">
        <f t="shared" si="13"/>
        <v>99.413954193597007</v>
      </c>
    </row>
    <row r="12" spans="1:26" x14ac:dyDescent="0.25">
      <c r="A12" s="6" t="s">
        <v>41</v>
      </c>
      <c r="B12" s="6" t="s">
        <v>33</v>
      </c>
      <c r="C12" s="18">
        <v>2.7099999999999999E-2</v>
      </c>
      <c r="D12" s="18">
        <v>3.34</v>
      </c>
      <c r="E12" s="18">
        <v>3.1</v>
      </c>
      <c r="F12" s="18">
        <v>3.34</v>
      </c>
      <c r="G12" s="18">
        <v>3.29</v>
      </c>
      <c r="H12" s="18">
        <v>3.35</v>
      </c>
      <c r="I12" s="18">
        <v>3.09</v>
      </c>
      <c r="J12" s="18">
        <f t="shared" si="8"/>
        <v>3.3433333333333333</v>
      </c>
      <c r="K12" s="18">
        <f t="shared" si="8"/>
        <v>3.16</v>
      </c>
      <c r="L12" s="19">
        <f t="shared" si="9"/>
        <v>0.13228756555322957</v>
      </c>
      <c r="M12" s="18">
        <f t="shared" si="0"/>
        <v>0.11269427669584649</v>
      </c>
      <c r="N12" s="62">
        <f t="shared" si="1"/>
        <v>27.160922029949379</v>
      </c>
      <c r="O12" s="63"/>
      <c r="P12" s="5">
        <f t="shared" si="2"/>
        <v>28.825623702752729</v>
      </c>
      <c r="Q12" s="5">
        <f t="shared" si="3"/>
        <v>12.104739753852931</v>
      </c>
      <c r="R12" s="5">
        <f t="shared" si="10"/>
        <v>22.697095162185011</v>
      </c>
      <c r="S12" s="5">
        <f t="shared" si="4"/>
        <v>9.9775699698698736E-4</v>
      </c>
      <c r="T12" s="5">
        <f t="shared" si="5"/>
        <v>9.4013577223697883E-4</v>
      </c>
      <c r="U12" s="5">
        <f t="shared" si="6"/>
        <v>2.2387924524667363E-3</v>
      </c>
      <c r="V12" s="5">
        <f t="shared" si="11"/>
        <v>1.3922284072302343E-3</v>
      </c>
      <c r="W12" s="5">
        <f t="shared" si="7"/>
        <v>1.1939853891589855E-3</v>
      </c>
      <c r="X12" s="5">
        <f t="shared" si="12"/>
        <v>1193.9853891589855</v>
      </c>
      <c r="Y12" s="25">
        <f t="shared" si="13"/>
        <v>50.748886300361562</v>
      </c>
    </row>
    <row r="13" spans="1:26" x14ac:dyDescent="0.25">
      <c r="A13" s="6" t="s">
        <v>41</v>
      </c>
      <c r="B13" s="6" t="s">
        <v>34</v>
      </c>
      <c r="C13" s="18">
        <v>6.9900000000000004E-2</v>
      </c>
      <c r="D13" s="18">
        <v>5.42</v>
      </c>
      <c r="E13" s="18">
        <v>3.28</v>
      </c>
      <c r="F13" s="18">
        <v>5.62</v>
      </c>
      <c r="G13" s="18">
        <v>3.29</v>
      </c>
      <c r="H13" s="18">
        <v>5.43</v>
      </c>
      <c r="I13" s="18">
        <v>3.24</v>
      </c>
      <c r="J13" s="18">
        <f t="shared" si="8"/>
        <v>5.4899999999999993</v>
      </c>
      <c r="K13" s="18">
        <f t="shared" si="8"/>
        <v>3.27</v>
      </c>
      <c r="L13" s="19">
        <f t="shared" si="9"/>
        <v>1.2444409722173744</v>
      </c>
      <c r="M13" s="18">
        <f t="shared" si="0"/>
        <v>2.6457513110645762E-2</v>
      </c>
      <c r="N13" s="62">
        <f t="shared" si="1"/>
        <v>75.676719591710452</v>
      </c>
      <c r="O13" s="63"/>
      <c r="P13" s="5">
        <f t="shared" si="2"/>
        <v>81.612824884114104</v>
      </c>
      <c r="Q13" s="5">
        <f t="shared" si="3"/>
        <v>33.346636283458686</v>
      </c>
      <c r="R13" s="5">
        <f t="shared" si="10"/>
        <v>63.545393586427743</v>
      </c>
      <c r="S13" s="5">
        <f t="shared" si="4"/>
        <v>9.2366582982353232E-4</v>
      </c>
      <c r="T13" s="5">
        <f t="shared" si="5"/>
        <v>8.5648303559219163E-4</v>
      </c>
      <c r="U13" s="5">
        <f t="shared" si="6"/>
        <v>2.0961634452669911E-3</v>
      </c>
      <c r="V13" s="5">
        <f t="shared" si="11"/>
        <v>1.2921041035609049E-3</v>
      </c>
      <c r="W13" s="5">
        <f t="shared" si="7"/>
        <v>1.1000010552288011E-3</v>
      </c>
      <c r="X13" s="5">
        <f t="shared" si="12"/>
        <v>1100.0010552288011</v>
      </c>
      <c r="Y13" s="25">
        <f t="shared" si="13"/>
        <v>103.74277216427087</v>
      </c>
    </row>
    <row r="14" spans="1:26" x14ac:dyDescent="0.25">
      <c r="A14" s="6" t="s">
        <v>41</v>
      </c>
      <c r="B14" s="6" t="s">
        <v>35</v>
      </c>
      <c r="C14" s="18">
        <v>2.63E-2</v>
      </c>
      <c r="D14" s="18">
        <v>3.33</v>
      </c>
      <c r="E14" s="18">
        <v>3.31</v>
      </c>
      <c r="F14" s="18">
        <v>3.42</v>
      </c>
      <c r="G14" s="18">
        <v>3.25</v>
      </c>
      <c r="H14" s="18">
        <v>3.41</v>
      </c>
      <c r="I14" s="18">
        <v>3.32</v>
      </c>
      <c r="J14" s="18">
        <f t="shared" si="8"/>
        <v>3.3866666666666667</v>
      </c>
      <c r="K14" s="18">
        <f t="shared" si="8"/>
        <v>3.2933333333333334</v>
      </c>
      <c r="L14" s="19">
        <f t="shared" si="9"/>
        <v>4.3588989435406726E-2</v>
      </c>
      <c r="M14" s="18">
        <f t="shared" si="0"/>
        <v>3.7859388972001778E-2</v>
      </c>
      <c r="N14" s="62">
        <f t="shared" si="1"/>
        <v>28.827457607464265</v>
      </c>
      <c r="O14" s="63"/>
      <c r="P14" s="5">
        <f t="shared" si="2"/>
        <v>29.85557600467622</v>
      </c>
      <c r="Q14" s="5">
        <f t="shared" si="3"/>
        <v>13.475789081876535</v>
      </c>
      <c r="R14" s="5">
        <f t="shared" si="10"/>
        <v>24.052940898005673</v>
      </c>
      <c r="S14" s="5">
        <f t="shared" si="4"/>
        <v>9.1232464402931485E-4</v>
      </c>
      <c r="T14" s="5">
        <f t="shared" si="5"/>
        <v>8.8090747255657319E-4</v>
      </c>
      <c r="U14" s="5">
        <f t="shared" si="6"/>
        <v>1.9516482367159212E-3</v>
      </c>
      <c r="V14" s="5">
        <f t="shared" si="11"/>
        <v>1.2482934511006032E-3</v>
      </c>
      <c r="W14" s="5">
        <f t="shared" si="7"/>
        <v>1.0934213870778954E-3</v>
      </c>
      <c r="X14" s="5">
        <f t="shared" si="12"/>
        <v>1093.4213870778954</v>
      </c>
      <c r="Y14" s="25">
        <f t="shared" si="13"/>
        <v>53.055775239185067</v>
      </c>
    </row>
    <row r="15" spans="1:26" x14ac:dyDescent="0.25">
      <c r="A15" s="6" t="s">
        <v>41</v>
      </c>
      <c r="B15" s="6" t="s">
        <v>36</v>
      </c>
      <c r="C15" s="18">
        <v>7.0499999999999993E-2</v>
      </c>
      <c r="D15" s="18">
        <v>5.47</v>
      </c>
      <c r="E15" s="18">
        <v>3.27</v>
      </c>
      <c r="F15" s="18">
        <v>5.51</v>
      </c>
      <c r="G15" s="18">
        <v>3.29</v>
      </c>
      <c r="H15" s="18">
        <v>5.5</v>
      </c>
      <c r="I15" s="18">
        <v>3.28</v>
      </c>
      <c r="J15" s="18">
        <f t="shared" si="8"/>
        <v>5.4933333333333332</v>
      </c>
      <c r="K15" s="18">
        <f t="shared" si="8"/>
        <v>3.28</v>
      </c>
      <c r="L15" s="19">
        <f t="shared" si="9"/>
        <v>1.2615202468978999</v>
      </c>
      <c r="M15" s="18">
        <f t="shared" si="0"/>
        <v>1.0000000000000009E-2</v>
      </c>
      <c r="N15" s="62">
        <f t="shared" si="1"/>
        <v>76.844411096539773</v>
      </c>
      <c r="O15" s="63"/>
      <c r="P15" s="5">
        <f t="shared" si="2"/>
        <v>78.44928270805184</v>
      </c>
      <c r="Q15" s="5">
        <f t="shared" si="3"/>
        <v>34.634313676575466</v>
      </c>
      <c r="R15" s="5">
        <f t="shared" si="10"/>
        <v>63.309335827055691</v>
      </c>
      <c r="S15" s="5">
        <f t="shared" si="4"/>
        <v>9.1743822346989831E-4</v>
      </c>
      <c r="T15" s="5">
        <f t="shared" si="5"/>
        <v>8.986697846857948E-4</v>
      </c>
      <c r="U15" s="5">
        <f t="shared" si="6"/>
        <v>2.0355535454909817E-3</v>
      </c>
      <c r="V15" s="5">
        <f t="shared" si="11"/>
        <v>1.2838871845488916E-3</v>
      </c>
      <c r="W15" s="5">
        <f t="shared" si="7"/>
        <v>1.1135798390396526E-3</v>
      </c>
      <c r="X15" s="5">
        <f t="shared" si="12"/>
        <v>1113.5798390396526</v>
      </c>
      <c r="Y15" s="25">
        <f t="shared" si="13"/>
        <v>104.00710227948544</v>
      </c>
    </row>
    <row r="16" spans="1:26" x14ac:dyDescent="0.25">
      <c r="A16" s="6" t="s">
        <v>41</v>
      </c>
      <c r="B16" s="6" t="s">
        <v>37</v>
      </c>
      <c r="C16" s="18">
        <v>6.8900000000000003E-2</v>
      </c>
      <c r="D16" s="18">
        <v>5.36</v>
      </c>
      <c r="E16" s="18">
        <v>3.22</v>
      </c>
      <c r="F16" s="18">
        <v>5.49</v>
      </c>
      <c r="G16" s="18">
        <v>3.28</v>
      </c>
      <c r="H16" s="18">
        <v>5.34</v>
      </c>
      <c r="I16" s="18">
        <v>3.26</v>
      </c>
      <c r="J16" s="18">
        <f t="shared" si="8"/>
        <v>5.3966666666666674</v>
      </c>
      <c r="K16" s="18">
        <f t="shared" si="8"/>
        <v>3.2533333333333334</v>
      </c>
      <c r="L16" s="19">
        <f t="shared" si="9"/>
        <v>1.2067034985170675</v>
      </c>
      <c r="M16" s="18">
        <f t="shared" si="0"/>
        <v>3.0550504633038718E-2</v>
      </c>
      <c r="N16" s="62">
        <f t="shared" si="1"/>
        <v>72.656643741961545</v>
      </c>
      <c r="O16" s="63"/>
      <c r="P16" s="5">
        <f t="shared" si="2"/>
        <v>77.644091725538615</v>
      </c>
      <c r="Q16" s="5">
        <f t="shared" si="3"/>
        <v>32.449460253446517</v>
      </c>
      <c r="R16" s="5">
        <f t="shared" si="10"/>
        <v>60.916731906982221</v>
      </c>
      <c r="S16" s="5">
        <f t="shared" si="4"/>
        <v>9.4829593622156321E-4</v>
      </c>
      <c r="T16" s="5">
        <f t="shared" si="5"/>
        <v>8.8738239405970775E-4</v>
      </c>
      <c r="U16" s="5">
        <f t="shared" si="6"/>
        <v>2.1233018811979165E-3</v>
      </c>
      <c r="V16" s="5">
        <f t="shared" si="11"/>
        <v>1.3196600704930624E-3</v>
      </c>
      <c r="W16" s="5">
        <f t="shared" si="7"/>
        <v>1.1310521402429789E-3</v>
      </c>
      <c r="X16" s="5">
        <f t="shared" si="12"/>
        <v>1131.052140242979</v>
      </c>
      <c r="Y16" s="25">
        <f t="shared" si="13"/>
        <v>100.90532058613366</v>
      </c>
    </row>
    <row r="17" spans="1:25" x14ac:dyDescent="0.25">
      <c r="A17" s="6" t="s">
        <v>41</v>
      </c>
      <c r="B17" s="6" t="s">
        <v>38</v>
      </c>
      <c r="C17" s="18">
        <v>6.9900000000000004E-2</v>
      </c>
      <c r="D17" s="18">
        <v>5.43</v>
      </c>
      <c r="E17" s="18">
        <v>3.35</v>
      </c>
      <c r="F17" s="18">
        <v>5.36</v>
      </c>
      <c r="G17" s="18">
        <v>3.3</v>
      </c>
      <c r="H17" s="18">
        <v>5.49</v>
      </c>
      <c r="I17" s="18">
        <v>3.29</v>
      </c>
      <c r="J17" s="18">
        <f t="shared" si="8"/>
        <v>5.4266666666666667</v>
      </c>
      <c r="K17" s="18">
        <f t="shared" si="8"/>
        <v>3.3133333333333339</v>
      </c>
      <c r="L17" s="19">
        <f t="shared" si="9"/>
        <v>1.2326529654908278</v>
      </c>
      <c r="M17" s="18">
        <f t="shared" si="0"/>
        <v>3.2145502536643257E-2</v>
      </c>
      <c r="N17" s="62">
        <f t="shared" si="1"/>
        <v>77.577244131657366</v>
      </c>
      <c r="O17" s="63"/>
      <c r="P17" s="5">
        <f t="shared" si="2"/>
        <v>74.461777747973002</v>
      </c>
      <c r="Q17" s="5">
        <f t="shared" si="3"/>
        <v>34.613694007726565</v>
      </c>
      <c r="R17" s="5">
        <f t="shared" si="10"/>
        <v>62.217571962452304</v>
      </c>
      <c r="S17" s="5">
        <f t="shared" si="4"/>
        <v>9.0103742124909457E-4</v>
      </c>
      <c r="T17" s="5">
        <f t="shared" si="5"/>
        <v>9.3873665273728742E-4</v>
      </c>
      <c r="U17" s="5">
        <f t="shared" si="6"/>
        <v>2.0194319619395934E-3</v>
      </c>
      <c r="V17" s="5">
        <f t="shared" si="11"/>
        <v>1.2864020119753251E-3</v>
      </c>
      <c r="W17" s="5">
        <f t="shared" si="7"/>
        <v>1.1234768216635642E-3</v>
      </c>
      <c r="X17" s="5">
        <f t="shared" si="12"/>
        <v>1123.4768216635641</v>
      </c>
      <c r="Y17" s="25">
        <f t="shared" si="13"/>
        <v>102.74488016444317</v>
      </c>
    </row>
    <row r="18" spans="1:25" x14ac:dyDescent="0.25">
      <c r="A18" s="6" t="s">
        <v>41</v>
      </c>
      <c r="B18" s="6" t="s">
        <v>39</v>
      </c>
      <c r="C18" s="18">
        <v>6.9900000000000004E-2</v>
      </c>
      <c r="D18" s="18">
        <v>5.49</v>
      </c>
      <c r="E18" s="18">
        <v>3.27</v>
      </c>
      <c r="F18" s="18">
        <v>5.45</v>
      </c>
      <c r="G18" s="18">
        <v>3.26</v>
      </c>
      <c r="H18" s="18">
        <v>5.44</v>
      </c>
      <c r="I18" s="18">
        <v>3.27</v>
      </c>
      <c r="J18" s="18">
        <f t="shared" si="8"/>
        <v>5.4600000000000009</v>
      </c>
      <c r="K18" s="18">
        <f t="shared" si="8"/>
        <v>3.2666666666666662</v>
      </c>
      <c r="L18" s="19">
        <f t="shared" si="9"/>
        <v>1.2846140795325793</v>
      </c>
      <c r="M18" s="18">
        <f t="shared" si="0"/>
        <v>5.7735026918963907E-3</v>
      </c>
      <c r="N18" s="62">
        <f t="shared" si="1"/>
        <v>77.407371933692474</v>
      </c>
      <c r="O18" s="63"/>
      <c r="P18" s="5">
        <f t="shared" si="2"/>
        <v>76.050221971499425</v>
      </c>
      <c r="Q18" s="5">
        <f t="shared" si="3"/>
        <v>33.779476541689881</v>
      </c>
      <c r="R18" s="5">
        <f t="shared" si="10"/>
        <v>62.41235681562727</v>
      </c>
      <c r="S18" s="5">
        <f t="shared" si="4"/>
        <v>9.0301476789415717E-4</v>
      </c>
      <c r="T18" s="5">
        <f t="shared" si="5"/>
        <v>9.1912946718545707E-4</v>
      </c>
      <c r="U18" s="5">
        <f t="shared" si="6"/>
        <v>2.0693038245791339E-3</v>
      </c>
      <c r="V18" s="5">
        <f t="shared" si="11"/>
        <v>1.2971493532195828E-3</v>
      </c>
      <c r="W18" s="5">
        <f t="shared" si="7"/>
        <v>1.1199705245307757E-3</v>
      </c>
      <c r="X18" s="5">
        <f t="shared" si="12"/>
        <v>1119.9705245307757</v>
      </c>
      <c r="Y18" s="25">
        <f t="shared" si="13"/>
        <v>102.8613983453063</v>
      </c>
    </row>
    <row r="19" spans="1:25" x14ac:dyDescent="0.25">
      <c r="A19" s="6" t="s">
        <v>41</v>
      </c>
      <c r="B19" s="6" t="s">
        <v>40</v>
      </c>
      <c r="C19" s="18">
        <v>0.11409999999999999</v>
      </c>
      <c r="D19" s="18">
        <v>5.49</v>
      </c>
      <c r="E19" s="18">
        <v>5.32</v>
      </c>
      <c r="F19" s="18">
        <v>5.44</v>
      </c>
      <c r="G19" s="18">
        <v>5.28</v>
      </c>
      <c r="H19" s="18">
        <v>5.37</v>
      </c>
      <c r="I19" s="18">
        <v>5.35</v>
      </c>
      <c r="J19" s="18">
        <f t="shared" si="8"/>
        <v>5.4333333333333336</v>
      </c>
      <c r="K19" s="18">
        <f t="shared" si="8"/>
        <v>5.3166666666666673</v>
      </c>
      <c r="L19" s="19">
        <f t="shared" si="9"/>
        <v>0.10692676621563631</v>
      </c>
      <c r="M19" s="18">
        <f t="shared" si="0"/>
        <v>3.5118845842842181E-2</v>
      </c>
      <c r="N19" s="62">
        <f t="shared" si="1"/>
        <v>125.93492926215411</v>
      </c>
      <c r="O19" s="63"/>
      <c r="P19" s="5">
        <f t="shared" si="2"/>
        <v>122.7217679863229</v>
      </c>
      <c r="Q19" s="5">
        <f t="shared" si="3"/>
        <v>53.852977064313748</v>
      </c>
      <c r="R19" s="5">
        <f t="shared" si="10"/>
        <v>100.83655810426359</v>
      </c>
      <c r="S19" s="5">
        <f t="shared" si="4"/>
        <v>9.0602345726087017E-4</v>
      </c>
      <c r="T19" s="5">
        <f t="shared" si="5"/>
        <v>9.2974540598792725E-4</v>
      </c>
      <c r="U19" s="5">
        <f t="shared" si="6"/>
        <v>2.1187315208913413E-3</v>
      </c>
      <c r="V19" s="5">
        <f t="shared" si="11"/>
        <v>1.3181667947133795E-3</v>
      </c>
      <c r="W19" s="5">
        <f t="shared" si="7"/>
        <v>1.1315340601175834E-3</v>
      </c>
      <c r="X19" s="5">
        <f t="shared" si="12"/>
        <v>1131.5340601175835</v>
      </c>
      <c r="Y19" s="25">
        <f t="shared" si="13"/>
        <v>137.12353801218651</v>
      </c>
    </row>
  </sheetData>
  <mergeCells count="24">
    <mergeCell ref="N18:O18"/>
    <mergeCell ref="N19:O19"/>
    <mergeCell ref="N15:O15"/>
    <mergeCell ref="N16:O16"/>
    <mergeCell ref="N17:O17"/>
    <mergeCell ref="N12:O12"/>
    <mergeCell ref="N13:O13"/>
    <mergeCell ref="N14:O14"/>
    <mergeCell ref="N9:O9"/>
    <mergeCell ref="N10:O10"/>
    <mergeCell ref="N11:O11"/>
    <mergeCell ref="N6:O6"/>
    <mergeCell ref="N7:O7"/>
    <mergeCell ref="N8:O8"/>
    <mergeCell ref="N3:O3"/>
    <mergeCell ref="N5:O5"/>
    <mergeCell ref="W1:X1"/>
    <mergeCell ref="N4:O4"/>
    <mergeCell ref="D1:E1"/>
    <mergeCell ref="F1:G1"/>
    <mergeCell ref="H1:I1"/>
    <mergeCell ref="J1:K1"/>
    <mergeCell ref="L1:M1"/>
    <mergeCell ref="N2:O2"/>
  </mergeCells>
  <conditionalFormatting sqref="X3:X19">
    <cfRule type="cellIs" dxfId="6" priority="2" operator="lessThan">
      <formula>1000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E11"/>
  <sheetViews>
    <sheetView topLeftCell="M1" workbookViewId="0">
      <selection activeCell="P4" sqref="P4"/>
    </sheetView>
  </sheetViews>
  <sheetFormatPr defaultColWidth="8.7109375" defaultRowHeight="15" x14ac:dyDescent="0.25"/>
  <cols>
    <col min="1" max="1" width="6.7109375" style="20" bestFit="1" customWidth="1"/>
    <col min="2" max="2" width="18.42578125" style="20" bestFit="1" customWidth="1"/>
    <col min="3" max="3" width="14.28515625" style="20" bestFit="1" customWidth="1"/>
    <col min="4" max="4" width="18.85546875" style="20" hidden="1" customWidth="1"/>
    <col min="5" max="5" width="15" style="20" hidden="1" customWidth="1"/>
    <col min="6" max="6" width="15.5703125" style="20" hidden="1" customWidth="1"/>
    <col min="7" max="7" width="18.85546875" style="20" hidden="1" customWidth="1"/>
    <col min="8" max="8" width="15" style="20" hidden="1" customWidth="1"/>
    <col min="9" max="9" width="15.5703125" style="20" hidden="1" customWidth="1"/>
    <col min="10" max="10" width="18.85546875" style="20" hidden="1" customWidth="1"/>
    <col min="11" max="11" width="15" style="20" hidden="1" customWidth="1"/>
    <col min="12" max="12" width="15.5703125" style="20" hidden="1" customWidth="1"/>
    <col min="13" max="13" width="15.7109375" style="20" bestFit="1" customWidth="1"/>
    <col min="14" max="14" width="15.85546875" style="20" bestFit="1" customWidth="1"/>
    <col min="15" max="15" width="15.5703125" style="20" bestFit="1" customWidth="1"/>
    <col min="16" max="16" width="15.7109375" style="20" customWidth="1"/>
    <col min="17" max="17" width="15.85546875" style="20" bestFit="1" customWidth="1"/>
    <col min="18" max="18" width="15.5703125" style="20" bestFit="1" customWidth="1"/>
    <col min="19" max="21" width="22" style="20" hidden="1" customWidth="1"/>
    <col min="22" max="22" width="29.5703125" style="20" bestFit="1" customWidth="1"/>
    <col min="23" max="25" width="25.42578125" style="20" hidden="1" customWidth="1"/>
    <col min="26" max="26" width="33.42578125" style="20" hidden="1" customWidth="1"/>
    <col min="27" max="27" width="29.5703125" style="20" hidden="1" customWidth="1"/>
    <col min="28" max="28" width="23.140625" style="20" bestFit="1" customWidth="1"/>
    <col min="29" max="29" width="18" style="20" bestFit="1" customWidth="1"/>
    <col min="30" max="30" width="38.42578125" customWidth="1"/>
    <col min="31" max="31" width="12" bestFit="1" customWidth="1"/>
  </cols>
  <sheetData>
    <row r="1" spans="1:31" x14ac:dyDescent="0.25">
      <c r="A1" s="8"/>
      <c r="B1" s="8"/>
      <c r="C1" s="8"/>
      <c r="D1" s="61" t="s">
        <v>0</v>
      </c>
      <c r="E1" s="61"/>
      <c r="F1" s="61"/>
      <c r="G1" s="61" t="s">
        <v>1</v>
      </c>
      <c r="H1" s="61"/>
      <c r="I1" s="61"/>
      <c r="J1" s="61" t="s">
        <v>2</v>
      </c>
      <c r="K1" s="61"/>
      <c r="L1" s="61"/>
      <c r="M1" s="61" t="s">
        <v>3</v>
      </c>
      <c r="N1" s="61"/>
      <c r="O1" s="61"/>
      <c r="P1" s="61" t="s">
        <v>4</v>
      </c>
      <c r="Q1" s="61"/>
      <c r="R1" s="61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31" ht="18.75" x14ac:dyDescent="0.3">
      <c r="A2" s="8" t="s">
        <v>6</v>
      </c>
      <c r="B2" s="8" t="s">
        <v>7</v>
      </c>
      <c r="C2" s="8" t="s">
        <v>8</v>
      </c>
      <c r="D2" s="8" t="s">
        <v>57</v>
      </c>
      <c r="E2" s="8" t="s">
        <v>79</v>
      </c>
      <c r="F2" s="8" t="s">
        <v>58</v>
      </c>
      <c r="G2" s="8" t="s">
        <v>57</v>
      </c>
      <c r="H2" s="8" t="s">
        <v>79</v>
      </c>
      <c r="I2" s="8" t="s">
        <v>58</v>
      </c>
      <c r="J2" s="8" t="s">
        <v>57</v>
      </c>
      <c r="K2" s="8" t="s">
        <v>79</v>
      </c>
      <c r="L2" s="8" t="s">
        <v>58</v>
      </c>
      <c r="M2" s="8" t="s">
        <v>57</v>
      </c>
      <c r="N2" s="8" t="s">
        <v>79</v>
      </c>
      <c r="O2" s="8" t="s">
        <v>58</v>
      </c>
      <c r="P2" s="8" t="s">
        <v>59</v>
      </c>
      <c r="Q2" s="8" t="s">
        <v>60</v>
      </c>
      <c r="R2" s="8" t="s">
        <v>58</v>
      </c>
      <c r="S2" s="8" t="s">
        <v>14</v>
      </c>
      <c r="T2" s="8" t="s">
        <v>15</v>
      </c>
      <c r="U2" s="8" t="s">
        <v>16</v>
      </c>
      <c r="V2" s="8" t="s">
        <v>17</v>
      </c>
      <c r="W2" s="8" t="s">
        <v>18</v>
      </c>
      <c r="X2" s="8" t="s">
        <v>19</v>
      </c>
      <c r="Y2" s="8" t="s">
        <v>20</v>
      </c>
      <c r="Z2" s="8" t="s">
        <v>21</v>
      </c>
      <c r="AA2" s="8" t="s">
        <v>17</v>
      </c>
      <c r="AB2" s="8" t="s">
        <v>22</v>
      </c>
      <c r="AC2" s="8" t="s">
        <v>23</v>
      </c>
      <c r="AD2" s="8" t="s">
        <v>154</v>
      </c>
      <c r="AE2" s="15"/>
    </row>
    <row r="3" spans="1:31" x14ac:dyDescent="0.25">
      <c r="A3" s="6" t="s">
        <v>41</v>
      </c>
      <c r="B3" s="6" t="s">
        <v>70</v>
      </c>
      <c r="C3" s="5">
        <v>6.2399999999999997E-2</v>
      </c>
      <c r="D3" s="5">
        <v>5.29</v>
      </c>
      <c r="E3" s="5">
        <f>D3/2</f>
        <v>2.645</v>
      </c>
      <c r="F3" s="5">
        <v>5.23</v>
      </c>
      <c r="G3" s="5">
        <v>5.3</v>
      </c>
      <c r="H3" s="5">
        <f>G3/2</f>
        <v>2.65</v>
      </c>
      <c r="I3" s="5">
        <v>5.22</v>
      </c>
      <c r="J3" s="5">
        <v>5.21</v>
      </c>
      <c r="K3" s="5">
        <f>J3/2</f>
        <v>2.605</v>
      </c>
      <c r="L3" s="5">
        <v>5.2</v>
      </c>
      <c r="M3" s="5">
        <f>AVERAGE(D3,G3,J3)</f>
        <v>5.2666666666666666</v>
      </c>
      <c r="N3" s="5">
        <f>AVERAGE(E3,H3,K3)</f>
        <v>2.6333333333333333</v>
      </c>
      <c r="O3" s="5">
        <f>AVERAGE(F3,I3,L3)</f>
        <v>5.2166666666666659</v>
      </c>
      <c r="P3" s="5">
        <f>_xlfn.STDEV.S(D3,G3,J3)</f>
        <v>4.9328828623162443E-2</v>
      </c>
      <c r="Q3" s="5">
        <f>_xlfn.STDEV.S(E3,H3,K3)</f>
        <v>2.4664414311581222E-2</v>
      </c>
      <c r="R3" s="5">
        <f>_xlfn.STDEV.S(F3,I3,L3)</f>
        <v>1.5275252316519529E-2</v>
      </c>
      <c r="S3" s="5">
        <f>PI()*(E3^2*F3)/2</f>
        <v>57.474197846424353</v>
      </c>
      <c r="T3" s="5">
        <f>PI()*(H3^2*I3)/2</f>
        <v>57.581387809667575</v>
      </c>
      <c r="U3" s="5">
        <f>PI()*(K3^2*L3)/2</f>
        <v>55.429208346399349</v>
      </c>
      <c r="V3" s="5">
        <f>AVERAGE(S3:U3)</f>
        <v>56.828264667497088</v>
      </c>
      <c r="W3" s="5">
        <f>C3/S3</f>
        <v>1.0857045828936626E-3</v>
      </c>
      <c r="X3" s="5">
        <f>C3/T3</f>
        <v>1.0836835021458689E-3</v>
      </c>
      <c r="Y3" s="5">
        <f>C3/U3</f>
        <v>1.1257602600065542E-3</v>
      </c>
      <c r="Z3" s="5">
        <f>AVERAGE(W3:Y3)</f>
        <v>1.0983827816820285E-3</v>
      </c>
      <c r="AA3" s="5">
        <f>V3</f>
        <v>56.828264667497088</v>
      </c>
      <c r="AB3" s="5">
        <f>C3/AA3</f>
        <v>1.0980451429425692E-3</v>
      </c>
      <c r="AC3" s="24">
        <f>AB3*10^6</f>
        <v>1098.0451429425691</v>
      </c>
      <c r="AD3" s="26">
        <f>((2*PI()*N3^2)+(2*PI()*N3*O3))/2</f>
        <v>64.941956137456998</v>
      </c>
    </row>
    <row r="4" spans="1:31" x14ac:dyDescent="0.25">
      <c r="A4" s="6" t="s">
        <v>41</v>
      </c>
      <c r="B4" s="6" t="s">
        <v>71</v>
      </c>
      <c r="C4" s="5">
        <v>1.2800000000000001E-2</v>
      </c>
      <c r="D4" s="5">
        <v>2.85</v>
      </c>
      <c r="E4" s="5">
        <f t="shared" ref="E4:E11" si="0">D4/2</f>
        <v>1.425</v>
      </c>
      <c r="F4" s="5">
        <v>3.22</v>
      </c>
      <c r="G4" s="5">
        <v>2.85</v>
      </c>
      <c r="H4" s="5">
        <f t="shared" ref="H4:H11" si="1">G4/2</f>
        <v>1.425</v>
      </c>
      <c r="I4" s="5">
        <v>3.21</v>
      </c>
      <c r="J4" s="5">
        <v>2.81</v>
      </c>
      <c r="K4" s="5">
        <f t="shared" ref="K4:K11" si="2">J4/2</f>
        <v>1.405</v>
      </c>
      <c r="L4" s="5">
        <v>3.21</v>
      </c>
      <c r="M4" s="5">
        <f t="shared" ref="M4:O11" si="3">AVERAGE(D4,G4,J4)</f>
        <v>2.8366666666666664</v>
      </c>
      <c r="N4" s="5">
        <f t="shared" si="3"/>
        <v>1.4183333333333332</v>
      </c>
      <c r="O4" s="5">
        <f t="shared" si="3"/>
        <v>3.2133333333333334</v>
      </c>
      <c r="P4" s="5">
        <f t="shared" ref="P4:R11" si="4">_xlfn.STDEV.S(D4,G4,J4)</f>
        <v>2.3094010767585053E-2</v>
      </c>
      <c r="Q4" s="5">
        <f t="shared" si="4"/>
        <v>1.1547005383792526E-2</v>
      </c>
      <c r="R4" s="5">
        <f t="shared" si="4"/>
        <v>5.7735026918963907E-3</v>
      </c>
      <c r="S4" s="5">
        <f t="shared" ref="S4:S11" si="5">PI()*(E4^2*F4)/2</f>
        <v>10.270828497335197</v>
      </c>
      <c r="T4" s="5">
        <f t="shared" ref="T4:T11" si="6">PI()*(H4^2*I4)/2</f>
        <v>10.238931514424216</v>
      </c>
      <c r="U4" s="5">
        <f t="shared" ref="U4:U11" si="7">PI()*((J4/2)*(K4/2))*L4</f>
        <v>9.9535398129941601</v>
      </c>
      <c r="V4" s="5">
        <f t="shared" ref="V4:V11" si="8">AVERAGE(S4:U4)</f>
        <v>10.154433274917857</v>
      </c>
      <c r="W4" s="5">
        <f t="shared" ref="W4:W11" si="9">C4/S4</f>
        <v>1.2462480512960572E-3</v>
      </c>
      <c r="X4" s="5">
        <f t="shared" ref="X4:X11" si="10">C4/T4</f>
        <v>1.2501304439792226E-3</v>
      </c>
      <c r="Y4" s="5">
        <f t="shared" ref="Y4:Y11" si="11">C4/U4</f>
        <v>1.2859746623296608E-3</v>
      </c>
      <c r="Z4" s="5">
        <f t="shared" ref="Z4:Z11" si="12">AVERAGE(W4:Y4)</f>
        <v>1.2607843858683135E-3</v>
      </c>
      <c r="AA4" s="5">
        <f t="shared" ref="AA4:AA11" si="13">V4</f>
        <v>10.154433274917857</v>
      </c>
      <c r="AB4" s="5">
        <f t="shared" ref="AB4:AB11" si="14">C4/AA4</f>
        <v>1.2605331733890925E-3</v>
      </c>
      <c r="AC4" s="24">
        <f t="shared" ref="AC4:AC11" si="15">AB4*10^6</f>
        <v>1260.5331733890926</v>
      </c>
      <c r="AD4" s="26">
        <f t="shared" ref="AD4:AD11" si="16">((2*PI()*N4^2)+(2*PI()*N4*O4))/2</f>
        <v>20.637898812948489</v>
      </c>
    </row>
    <row r="5" spans="1:31" x14ac:dyDescent="0.25">
      <c r="A5" s="6" t="s">
        <v>41</v>
      </c>
      <c r="B5" s="6" t="s">
        <v>72</v>
      </c>
      <c r="C5" s="5">
        <v>6.2300000000000001E-2</v>
      </c>
      <c r="D5" s="5">
        <v>5.22</v>
      </c>
      <c r="E5" s="5">
        <f t="shared" si="0"/>
        <v>2.61</v>
      </c>
      <c r="F5" s="5">
        <v>5.2</v>
      </c>
      <c r="G5" s="5">
        <v>5.26</v>
      </c>
      <c r="H5" s="5">
        <f t="shared" si="1"/>
        <v>2.63</v>
      </c>
      <c r="I5" s="5">
        <v>5.19</v>
      </c>
      <c r="J5" s="5">
        <v>5.21</v>
      </c>
      <c r="K5" s="5">
        <f t="shared" si="2"/>
        <v>2.605</v>
      </c>
      <c r="L5" s="5">
        <v>5.18</v>
      </c>
      <c r="M5" s="5">
        <f t="shared" si="3"/>
        <v>5.23</v>
      </c>
      <c r="N5" s="5">
        <f t="shared" si="3"/>
        <v>2.6150000000000002</v>
      </c>
      <c r="O5" s="5">
        <f t="shared" si="3"/>
        <v>5.19</v>
      </c>
      <c r="P5" s="5">
        <f t="shared" si="4"/>
        <v>2.6457513110645845E-2</v>
      </c>
      <c r="Q5" s="5">
        <f t="shared" si="4"/>
        <v>1.3228756555322923E-2</v>
      </c>
      <c r="R5" s="5">
        <f t="shared" si="4"/>
        <v>1.0000000000000231E-2</v>
      </c>
      <c r="S5" s="5">
        <f t="shared" si="5"/>
        <v>55.642192620349476</v>
      </c>
      <c r="T5" s="5">
        <f t="shared" si="6"/>
        <v>56.389563375471546</v>
      </c>
      <c r="U5" s="5">
        <f t="shared" si="7"/>
        <v>55.216019083528586</v>
      </c>
      <c r="V5" s="5">
        <f t="shared" si="8"/>
        <v>55.749258359783198</v>
      </c>
      <c r="W5" s="5">
        <f t="shared" si="9"/>
        <v>1.1196539364485005E-3</v>
      </c>
      <c r="X5" s="5">
        <f t="shared" si="10"/>
        <v>1.1048143711483212E-3</v>
      </c>
      <c r="Y5" s="5">
        <f t="shared" si="11"/>
        <v>1.12829575608765E-3</v>
      </c>
      <c r="Z5" s="5">
        <f t="shared" si="12"/>
        <v>1.1175880212281571E-3</v>
      </c>
      <c r="AA5" s="5">
        <f t="shared" si="13"/>
        <v>55.749258359783198</v>
      </c>
      <c r="AB5" s="5">
        <f t="shared" si="14"/>
        <v>1.1175036553480401E-3</v>
      </c>
      <c r="AC5" s="24">
        <f t="shared" si="15"/>
        <v>1117.5036553480402</v>
      </c>
      <c r="AD5" s="26">
        <f t="shared" si="16"/>
        <v>64.120141679216715</v>
      </c>
    </row>
    <row r="6" spans="1:31" x14ac:dyDescent="0.25">
      <c r="A6" s="6" t="s">
        <v>41</v>
      </c>
      <c r="B6" s="6" t="s">
        <v>73</v>
      </c>
      <c r="C6" s="5">
        <v>6.1499999999999999E-2</v>
      </c>
      <c r="D6" s="5">
        <v>5.2</v>
      </c>
      <c r="E6" s="5">
        <f t="shared" si="0"/>
        <v>2.6</v>
      </c>
      <c r="F6" s="5">
        <v>5.27</v>
      </c>
      <c r="G6" s="5">
        <v>5.2</v>
      </c>
      <c r="H6" s="5">
        <f t="shared" si="1"/>
        <v>2.6</v>
      </c>
      <c r="I6" s="5">
        <v>5.28</v>
      </c>
      <c r="J6" s="5">
        <v>5.23</v>
      </c>
      <c r="K6" s="5">
        <f t="shared" si="2"/>
        <v>2.6150000000000002</v>
      </c>
      <c r="L6" s="5">
        <v>5.25</v>
      </c>
      <c r="M6" s="5">
        <f t="shared" si="3"/>
        <v>5.21</v>
      </c>
      <c r="N6" s="5">
        <f t="shared" si="3"/>
        <v>2.605</v>
      </c>
      <c r="O6" s="5">
        <f t="shared" si="3"/>
        <v>5.2666666666666666</v>
      </c>
      <c r="P6" s="5">
        <f t="shared" si="4"/>
        <v>1.7320508075688915E-2</v>
      </c>
      <c r="Q6" s="5">
        <f t="shared" si="4"/>
        <v>8.6602540378444576E-3</v>
      </c>
      <c r="R6" s="5">
        <f t="shared" si="4"/>
        <v>1.5275252316519529E-2</v>
      </c>
      <c r="S6" s="5">
        <f t="shared" si="5"/>
        <v>55.95993330133355</v>
      </c>
      <c r="T6" s="5">
        <f t="shared" si="6"/>
        <v>56.066119133024891</v>
      </c>
      <c r="U6" s="5">
        <f t="shared" si="7"/>
        <v>56.392658236934423</v>
      </c>
      <c r="V6" s="5">
        <f t="shared" si="8"/>
        <v>56.139570223764281</v>
      </c>
      <c r="W6" s="5">
        <f t="shared" si="9"/>
        <v>1.099000595101396E-3</v>
      </c>
      <c r="X6" s="5">
        <f t="shared" si="10"/>
        <v>1.0969191545803704E-3</v>
      </c>
      <c r="Y6" s="5">
        <f t="shared" si="11"/>
        <v>1.0905674944707699E-3</v>
      </c>
      <c r="Z6" s="5">
        <f t="shared" si="12"/>
        <v>1.0954957480508454E-3</v>
      </c>
      <c r="AA6" s="5">
        <f t="shared" si="13"/>
        <v>56.139570223764281</v>
      </c>
      <c r="AB6" s="5">
        <f t="shared" si="14"/>
        <v>1.0954839831311463E-3</v>
      </c>
      <c r="AC6" s="24">
        <f t="shared" si="15"/>
        <v>1095.4839831311463</v>
      </c>
      <c r="AD6" s="26">
        <f t="shared" si="16"/>
        <v>64.420530296777443</v>
      </c>
    </row>
    <row r="7" spans="1:31" x14ac:dyDescent="0.25">
      <c r="A7" s="6" t="s">
        <v>41</v>
      </c>
      <c r="B7" s="6" t="s">
        <v>74</v>
      </c>
      <c r="C7" s="5">
        <v>6.13E-2</v>
      </c>
      <c r="D7" s="5">
        <v>5.15</v>
      </c>
      <c r="E7" s="5">
        <f t="shared" si="0"/>
        <v>2.5750000000000002</v>
      </c>
      <c r="F7" s="5">
        <v>5.26</v>
      </c>
      <c r="G7" s="5">
        <v>5.13</v>
      </c>
      <c r="H7" s="5">
        <f t="shared" si="1"/>
        <v>2.5649999999999999</v>
      </c>
      <c r="I7" s="5">
        <v>5.25</v>
      </c>
      <c r="J7" s="5">
        <v>5.2</v>
      </c>
      <c r="K7" s="5">
        <f t="shared" si="2"/>
        <v>2.6</v>
      </c>
      <c r="L7" s="5">
        <v>5.24</v>
      </c>
      <c r="M7" s="5">
        <f t="shared" si="3"/>
        <v>5.16</v>
      </c>
      <c r="N7" s="5">
        <f t="shared" si="3"/>
        <v>2.58</v>
      </c>
      <c r="O7" s="5">
        <f t="shared" si="3"/>
        <v>5.25</v>
      </c>
      <c r="P7" s="5">
        <f t="shared" si="4"/>
        <v>3.6055512754639987E-2</v>
      </c>
      <c r="Q7" s="5">
        <f t="shared" si="4"/>
        <v>1.8027756377319994E-2</v>
      </c>
      <c r="R7" s="5">
        <f t="shared" si="4"/>
        <v>9.9999999999997868E-3</v>
      </c>
      <c r="S7" s="5">
        <f t="shared" si="5"/>
        <v>54.784800934304208</v>
      </c>
      <c r="T7" s="5">
        <f t="shared" si="6"/>
        <v>54.256767931575055</v>
      </c>
      <c r="U7" s="5">
        <f t="shared" si="7"/>
        <v>55.641375806259546</v>
      </c>
      <c r="V7" s="5">
        <f t="shared" si="8"/>
        <v>54.894314890712941</v>
      </c>
      <c r="W7" s="5">
        <f t="shared" si="9"/>
        <v>1.1189234779461655E-3</v>
      </c>
      <c r="X7" s="5">
        <f t="shared" si="10"/>
        <v>1.1298129677998401E-3</v>
      </c>
      <c r="Y7" s="5">
        <f t="shared" si="11"/>
        <v>1.1016981358161146E-3</v>
      </c>
      <c r="Z7" s="5">
        <f t="shared" si="12"/>
        <v>1.1168115271873733E-3</v>
      </c>
      <c r="AA7" s="5">
        <f t="shared" si="13"/>
        <v>54.894314890712941</v>
      </c>
      <c r="AB7" s="5">
        <f t="shared" si="14"/>
        <v>1.1166912297209629E-3</v>
      </c>
      <c r="AC7" s="24">
        <f t="shared" si="15"/>
        <v>1116.6912297209628</v>
      </c>
      <c r="AD7" s="26">
        <f t="shared" si="16"/>
        <v>63.464569832228847</v>
      </c>
    </row>
    <row r="8" spans="1:31" x14ac:dyDescent="0.25">
      <c r="A8" s="6" t="s">
        <v>41</v>
      </c>
      <c r="B8" s="6" t="s">
        <v>75</v>
      </c>
      <c r="C8" s="5">
        <v>6.2899999999999998E-2</v>
      </c>
      <c r="D8" s="5">
        <v>5.26</v>
      </c>
      <c r="E8" s="5">
        <f t="shared" si="0"/>
        <v>2.63</v>
      </c>
      <c r="F8" s="5">
        <v>5.22</v>
      </c>
      <c r="G8" s="5">
        <v>5.27</v>
      </c>
      <c r="H8" s="5">
        <f t="shared" si="1"/>
        <v>2.6349999999999998</v>
      </c>
      <c r="I8" s="5">
        <v>5.21</v>
      </c>
      <c r="J8" s="5">
        <v>5.22</v>
      </c>
      <c r="K8" s="5">
        <f t="shared" si="2"/>
        <v>2.61</v>
      </c>
      <c r="L8" s="5">
        <v>5.23</v>
      </c>
      <c r="M8" s="5">
        <f t="shared" si="3"/>
        <v>5.25</v>
      </c>
      <c r="N8" s="5">
        <f t="shared" si="3"/>
        <v>2.625</v>
      </c>
      <c r="O8" s="5">
        <f t="shared" si="3"/>
        <v>5.22</v>
      </c>
      <c r="P8" s="5">
        <f t="shared" si="4"/>
        <v>2.6457513110645845E-2</v>
      </c>
      <c r="Q8" s="5">
        <f t="shared" si="4"/>
        <v>1.3228756555322923E-2</v>
      </c>
      <c r="R8" s="5">
        <f t="shared" si="4"/>
        <v>1.0000000000000231E-2</v>
      </c>
      <c r="S8" s="5">
        <f t="shared" si="5"/>
        <v>56.715514608855763</v>
      </c>
      <c r="T8" s="5">
        <f t="shared" si="6"/>
        <v>56.82230401903567</v>
      </c>
      <c r="U8" s="5">
        <f t="shared" si="7"/>
        <v>55.963205270082256</v>
      </c>
      <c r="V8" s="5">
        <f t="shared" si="8"/>
        <v>56.50034129932456</v>
      </c>
      <c r="W8" s="5">
        <f t="shared" si="9"/>
        <v>1.1090439791262788E-3</v>
      </c>
      <c r="X8" s="5">
        <f t="shared" si="10"/>
        <v>1.1069596892608979E-3</v>
      </c>
      <c r="Y8" s="5">
        <f t="shared" si="11"/>
        <v>1.123952777480137E-3</v>
      </c>
      <c r="Z8" s="5">
        <f t="shared" si="12"/>
        <v>1.1133188152891045E-3</v>
      </c>
      <c r="AA8" s="5">
        <f t="shared" si="13"/>
        <v>56.50034129932456</v>
      </c>
      <c r="AB8" s="5">
        <f t="shared" si="14"/>
        <v>1.1132676113719678E-3</v>
      </c>
      <c r="AC8" s="24">
        <f t="shared" si="15"/>
        <v>1113.2676113719679</v>
      </c>
      <c r="AD8" s="26">
        <f t="shared" si="16"/>
        <v>64.69521021445631</v>
      </c>
    </row>
    <row r="9" spans="1:31" x14ac:dyDescent="0.25">
      <c r="A9" s="6" t="s">
        <v>41</v>
      </c>
      <c r="B9" s="6" t="s">
        <v>76</v>
      </c>
      <c r="C9" s="5">
        <v>6.3299999999999995E-2</v>
      </c>
      <c r="D9" s="5">
        <v>5.26</v>
      </c>
      <c r="E9" s="5">
        <f t="shared" si="0"/>
        <v>2.63</v>
      </c>
      <c r="F9" s="5">
        <v>5.27</v>
      </c>
      <c r="G9" s="5">
        <v>5.17</v>
      </c>
      <c r="H9" s="5">
        <f t="shared" si="1"/>
        <v>2.585</v>
      </c>
      <c r="I9" s="5">
        <v>5.25</v>
      </c>
      <c r="J9" s="5">
        <v>5.12</v>
      </c>
      <c r="K9" s="5">
        <f t="shared" si="2"/>
        <v>2.56</v>
      </c>
      <c r="L9" s="5">
        <v>5.25</v>
      </c>
      <c r="M9" s="5">
        <f t="shared" si="3"/>
        <v>5.1833333333333336</v>
      </c>
      <c r="N9" s="5">
        <f t="shared" si="3"/>
        <v>2.5916666666666668</v>
      </c>
      <c r="O9" s="5">
        <f t="shared" si="3"/>
        <v>5.2566666666666668</v>
      </c>
      <c r="P9" s="5">
        <f t="shared" si="4"/>
        <v>7.0945988845975722E-2</v>
      </c>
      <c r="Q9" s="5">
        <f t="shared" si="4"/>
        <v>3.5472994422987861E-2</v>
      </c>
      <c r="R9" s="5">
        <f t="shared" si="4"/>
        <v>1.154700538379227E-2</v>
      </c>
      <c r="S9" s="5">
        <f t="shared" si="5"/>
        <v>57.25876666449615</v>
      </c>
      <c r="T9" s="5">
        <f t="shared" si="6"/>
        <v>55.106176045289402</v>
      </c>
      <c r="U9" s="5">
        <f t="shared" si="7"/>
        <v>54.045446738235931</v>
      </c>
      <c r="V9" s="5">
        <f t="shared" si="8"/>
        <v>55.470129816007159</v>
      </c>
      <c r="W9" s="5">
        <f t="shared" si="9"/>
        <v>1.1055075700617521E-3</v>
      </c>
      <c r="X9" s="5">
        <f t="shared" si="10"/>
        <v>1.1486915722110067E-3</v>
      </c>
      <c r="Y9" s="5">
        <f t="shared" si="11"/>
        <v>1.1712365022457419E-3</v>
      </c>
      <c r="Z9" s="5">
        <f t="shared" si="12"/>
        <v>1.1418118815061668E-3</v>
      </c>
      <c r="AA9" s="5">
        <f t="shared" si="13"/>
        <v>55.470129816007159</v>
      </c>
      <c r="AB9" s="5">
        <f t="shared" si="14"/>
        <v>1.1411547117334013E-3</v>
      </c>
      <c r="AC9" s="24">
        <f t="shared" si="15"/>
        <v>1141.1547117334012</v>
      </c>
      <c r="AD9" s="26">
        <f t="shared" si="16"/>
        <v>63.900823605411091</v>
      </c>
    </row>
    <row r="10" spans="1:31" x14ac:dyDescent="0.25">
      <c r="A10" s="6" t="s">
        <v>41</v>
      </c>
      <c r="B10" s="6" t="s">
        <v>77</v>
      </c>
      <c r="C10" s="5">
        <v>6.2199999999999998E-2</v>
      </c>
      <c r="D10" s="5">
        <v>5.14</v>
      </c>
      <c r="E10" s="5">
        <f t="shared" si="0"/>
        <v>2.57</v>
      </c>
      <c r="F10" s="5">
        <v>5.36</v>
      </c>
      <c r="G10" s="5">
        <v>5.15</v>
      </c>
      <c r="H10" s="5">
        <f t="shared" si="1"/>
        <v>2.5750000000000002</v>
      </c>
      <c r="I10" s="5">
        <v>5.38</v>
      </c>
      <c r="J10" s="5">
        <v>5.2</v>
      </c>
      <c r="K10" s="5">
        <f t="shared" si="2"/>
        <v>2.6</v>
      </c>
      <c r="L10" s="5">
        <v>5.4</v>
      </c>
      <c r="M10" s="5">
        <f t="shared" si="3"/>
        <v>5.1633333333333331</v>
      </c>
      <c r="N10" s="5">
        <f t="shared" si="3"/>
        <v>2.5816666666666666</v>
      </c>
      <c r="O10" s="5">
        <f t="shared" si="3"/>
        <v>5.38</v>
      </c>
      <c r="P10" s="5">
        <f t="shared" si="4"/>
        <v>3.2145502536643326E-2</v>
      </c>
      <c r="Q10" s="5">
        <f t="shared" si="4"/>
        <v>1.6072751268321663E-2</v>
      </c>
      <c r="R10" s="5">
        <f t="shared" si="4"/>
        <v>2.0000000000000018E-2</v>
      </c>
      <c r="S10" s="5">
        <f t="shared" si="5"/>
        <v>55.609746251423196</v>
      </c>
      <c r="T10" s="5">
        <f t="shared" si="6"/>
        <v>56.034644301626741</v>
      </c>
      <c r="U10" s="5">
        <f t="shared" si="7"/>
        <v>57.340349113320912</v>
      </c>
      <c r="V10" s="5">
        <f t="shared" si="8"/>
        <v>56.32824655545695</v>
      </c>
      <c r="W10" s="5">
        <f t="shared" si="9"/>
        <v>1.1185089699704957E-3</v>
      </c>
      <c r="X10" s="5">
        <f t="shared" si="10"/>
        <v>1.1100275691086035E-3</v>
      </c>
      <c r="Y10" s="5">
        <f t="shared" si="11"/>
        <v>1.0847509818448268E-3</v>
      </c>
      <c r="Z10" s="5">
        <f t="shared" si="12"/>
        <v>1.1044291736413087E-3</v>
      </c>
      <c r="AA10" s="5">
        <f t="shared" si="13"/>
        <v>56.32824655545695</v>
      </c>
      <c r="AB10" s="5">
        <f t="shared" si="14"/>
        <v>1.1042417224680005E-3</v>
      </c>
      <c r="AC10" s="24">
        <f t="shared" si="15"/>
        <v>1104.2417224680005</v>
      </c>
      <c r="AD10" s="26">
        <f t="shared" si="16"/>
        <v>64.57345604583719</v>
      </c>
    </row>
    <row r="11" spans="1:31" x14ac:dyDescent="0.25">
      <c r="A11" s="6" t="s">
        <v>41</v>
      </c>
      <c r="B11" s="6" t="s">
        <v>78</v>
      </c>
      <c r="C11" s="5">
        <v>6.3700000000000007E-2</v>
      </c>
      <c r="D11" s="5">
        <v>5.26</v>
      </c>
      <c r="E11" s="5">
        <f t="shared" si="0"/>
        <v>2.63</v>
      </c>
      <c r="F11" s="5">
        <v>5.32</v>
      </c>
      <c r="G11" s="5">
        <v>5.23</v>
      </c>
      <c r="H11" s="5">
        <f t="shared" si="1"/>
        <v>2.6150000000000002</v>
      </c>
      <c r="I11" s="5">
        <v>5.34</v>
      </c>
      <c r="J11" s="5">
        <v>5.28</v>
      </c>
      <c r="K11" s="5">
        <f t="shared" si="2"/>
        <v>2.64</v>
      </c>
      <c r="L11" s="5">
        <v>5.34</v>
      </c>
      <c r="M11" s="5">
        <f t="shared" si="3"/>
        <v>5.2566666666666668</v>
      </c>
      <c r="N11" s="5">
        <f t="shared" si="3"/>
        <v>2.6283333333333334</v>
      </c>
      <c r="O11" s="5">
        <f t="shared" si="3"/>
        <v>5.333333333333333</v>
      </c>
      <c r="P11" s="5">
        <f t="shared" si="4"/>
        <v>2.5166114784235707E-2</v>
      </c>
      <c r="Q11" s="5">
        <f t="shared" si="4"/>
        <v>1.2583057392117854E-2</v>
      </c>
      <c r="R11" s="5">
        <f t="shared" si="4"/>
        <v>1.154700538379227E-2</v>
      </c>
      <c r="S11" s="5">
        <f t="shared" si="5"/>
        <v>57.802018720136537</v>
      </c>
      <c r="T11" s="5">
        <f t="shared" si="6"/>
        <v>57.359389520996153</v>
      </c>
      <c r="U11" s="5">
        <f t="shared" si="7"/>
        <v>58.461369903086663</v>
      </c>
      <c r="V11" s="5">
        <f t="shared" si="8"/>
        <v>57.874259381406453</v>
      </c>
      <c r="W11" s="5">
        <f t="shared" si="9"/>
        <v>1.1020376348518219E-3</v>
      </c>
      <c r="X11" s="5">
        <f t="shared" si="10"/>
        <v>1.1105418054821331E-3</v>
      </c>
      <c r="Y11" s="5">
        <f t="shared" si="11"/>
        <v>1.0896084047568094E-3</v>
      </c>
      <c r="Z11" s="5">
        <f t="shared" si="12"/>
        <v>1.1007292816969216E-3</v>
      </c>
      <c r="AA11" s="5">
        <f t="shared" si="13"/>
        <v>57.874259381406453</v>
      </c>
      <c r="AB11" s="5">
        <f t="shared" si="14"/>
        <v>1.1006620331881986E-3</v>
      </c>
      <c r="AC11" s="24">
        <f t="shared" si="15"/>
        <v>1100.6620331881986</v>
      </c>
      <c r="AD11" s="26">
        <f t="shared" si="16"/>
        <v>65.740697342985953</v>
      </c>
    </row>
  </sheetData>
  <mergeCells count="5">
    <mergeCell ref="D1:F1"/>
    <mergeCell ref="G1:I1"/>
    <mergeCell ref="J1:L1"/>
    <mergeCell ref="M1:O1"/>
    <mergeCell ref="P1:R1"/>
  </mergeCells>
  <phoneticPr fontId="2" type="noConversion"/>
  <conditionalFormatting sqref="AC3:AC11">
    <cfRule type="cellIs" dxfId="5" priority="1" operator="lessThan">
      <formula>1000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Z31"/>
  <sheetViews>
    <sheetView zoomScale="90" zoomScaleNormal="90" workbookViewId="0">
      <selection activeCell="Y31" sqref="Y31"/>
    </sheetView>
  </sheetViews>
  <sheetFormatPr defaultColWidth="11.42578125" defaultRowHeight="15" x14ac:dyDescent="0.25"/>
  <cols>
    <col min="2" max="2" width="15.28515625" customWidth="1"/>
    <col min="3" max="3" width="13.140625" customWidth="1"/>
    <col min="4" max="4" width="17.7109375" hidden="1" customWidth="1"/>
    <col min="5" max="5" width="18.140625" hidden="1" customWidth="1"/>
    <col min="6" max="6" width="17.28515625" hidden="1" customWidth="1"/>
    <col min="7" max="7" width="21.42578125" hidden="1" customWidth="1"/>
    <col min="8" max="9" width="17.7109375" hidden="1" customWidth="1"/>
    <col min="10" max="10" width="16.140625" bestFit="1" customWidth="1"/>
    <col min="11" max="11" width="13.28515625" bestFit="1" customWidth="1"/>
    <col min="12" max="12" width="20.28515625" customWidth="1"/>
    <col min="13" max="13" width="17.140625" customWidth="1"/>
    <col min="14" max="14" width="0" hidden="1" customWidth="1"/>
    <col min="15" max="15" width="17.42578125" hidden="1" customWidth="1"/>
    <col min="16" max="17" width="21.85546875" hidden="1" customWidth="1"/>
    <col min="18" max="18" width="29" bestFit="1" customWidth="1"/>
    <col min="19" max="21" width="25" hidden="1" customWidth="1"/>
    <col min="22" max="22" width="32.5703125" hidden="1" customWidth="1"/>
    <col min="23" max="23" width="22.7109375" bestFit="1" customWidth="1"/>
    <col min="24" max="24" width="20.7109375" bestFit="1" customWidth="1"/>
    <col min="25" max="25" width="22.140625" customWidth="1"/>
  </cols>
  <sheetData>
    <row r="1" spans="1:26" s="3" customFormat="1" ht="18.75" x14ac:dyDescent="0.3">
      <c r="A1" s="13"/>
      <c r="B1" s="13"/>
      <c r="C1" s="13"/>
      <c r="D1" s="69" t="s">
        <v>0</v>
      </c>
      <c r="E1" s="69"/>
      <c r="F1" s="69" t="s">
        <v>1</v>
      </c>
      <c r="G1" s="69"/>
      <c r="H1" s="69" t="s">
        <v>2</v>
      </c>
      <c r="I1" s="69"/>
      <c r="J1" s="69" t="s">
        <v>3</v>
      </c>
      <c r="K1" s="69"/>
      <c r="L1" s="13" t="s">
        <v>4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66" t="s">
        <v>5</v>
      </c>
      <c r="X1" s="66"/>
      <c r="Y1" s="1"/>
      <c r="Z1" s="1"/>
    </row>
    <row r="2" spans="1:26" ht="18.75" x14ac:dyDescent="0.3">
      <c r="A2" s="13" t="s">
        <v>6</v>
      </c>
      <c r="B2" s="13" t="s">
        <v>7</v>
      </c>
      <c r="C2" s="13" t="s">
        <v>8</v>
      </c>
      <c r="D2" s="14" t="s">
        <v>57</v>
      </c>
      <c r="E2" s="14" t="s">
        <v>58</v>
      </c>
      <c r="F2" s="14" t="s">
        <v>57</v>
      </c>
      <c r="G2" s="14" t="s">
        <v>58</v>
      </c>
      <c r="H2" s="14" t="s">
        <v>57</v>
      </c>
      <c r="I2" s="14" t="s">
        <v>58</v>
      </c>
      <c r="J2" s="14" t="s">
        <v>57</v>
      </c>
      <c r="K2" s="14" t="s">
        <v>58</v>
      </c>
      <c r="L2" s="14" t="s">
        <v>57</v>
      </c>
      <c r="M2" s="14" t="s">
        <v>58</v>
      </c>
      <c r="N2" s="69" t="s">
        <v>14</v>
      </c>
      <c r="O2" s="69"/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154</v>
      </c>
      <c r="Z2" s="15"/>
    </row>
    <row r="3" spans="1:26" x14ac:dyDescent="0.25">
      <c r="A3" s="12" t="s">
        <v>80</v>
      </c>
      <c r="B3" s="12" t="s">
        <v>24</v>
      </c>
      <c r="C3" s="10">
        <v>6.6100000000000006E-2</v>
      </c>
      <c r="D3" s="11">
        <v>4.99</v>
      </c>
      <c r="E3" s="11">
        <v>3.05</v>
      </c>
      <c r="F3" s="11">
        <v>4.92</v>
      </c>
      <c r="G3" s="11">
        <v>3.06</v>
      </c>
      <c r="H3" s="11">
        <v>4.97</v>
      </c>
      <c r="I3" s="11">
        <v>3.05</v>
      </c>
      <c r="J3" s="11">
        <f>AVERAGE(D3,F3,H3)</f>
        <v>4.96</v>
      </c>
      <c r="K3" s="11">
        <f>AVERAGE(E3,G3,I3)</f>
        <v>3.0533333333333332</v>
      </c>
      <c r="L3" s="11">
        <f>_xlfn.STDEV.S(D3,G3,I3)</f>
        <v>1.1171839597845963</v>
      </c>
      <c r="M3" s="11">
        <f t="shared" ref="M3:M31" si="0">_xlfn.STDEV.S(E3,G3,I3)</f>
        <v>5.7735026918963907E-3</v>
      </c>
      <c r="N3" s="67">
        <f t="shared" ref="N3:N31" si="1">PI()*(D3/2)^2*E3</f>
        <v>59.647303065659045</v>
      </c>
      <c r="O3" s="68"/>
      <c r="P3" s="11">
        <f t="shared" ref="P3:P31" si="2">PI()*(F3/2)^2*G3</f>
        <v>58.175686033539812</v>
      </c>
      <c r="Q3" s="11">
        <f t="shared" ref="Q3:Q31" si="3">PI()*(H3/3)^2*I3</f>
        <v>26.297834025557897</v>
      </c>
      <c r="R3" s="11">
        <f>AVERAGE(N3:Q3)</f>
        <v>48.040274374918916</v>
      </c>
      <c r="S3" s="11">
        <f t="shared" ref="S3:S31" si="4">C3/N3</f>
        <v>1.1081808665722556E-3</v>
      </c>
      <c r="T3" s="11">
        <f t="shared" ref="T3:T31" si="5">C3/P3</f>
        <v>1.1362135026975293E-3</v>
      </c>
      <c r="U3" s="11">
        <f t="shared" ref="U3:U31" si="6">C3/Q3</f>
        <v>2.5135149889439507E-3</v>
      </c>
      <c r="V3" s="11">
        <f>AVERAGE(S3:U3)</f>
        <v>1.5859697860712452E-3</v>
      </c>
      <c r="W3" s="23">
        <f t="shared" ref="W3:W31" si="7">C3/R3</f>
        <v>1.3759288609415145E-3</v>
      </c>
      <c r="X3" s="11">
        <f>W3*10^6</f>
        <v>1375.9288609415146</v>
      </c>
      <c r="Y3" s="25">
        <f>2*PI()*J3/2*(J3/2+K3)</f>
        <v>86.222057575323078</v>
      </c>
    </row>
    <row r="4" spans="1:26" x14ac:dyDescent="0.25">
      <c r="A4" s="12" t="s">
        <v>80</v>
      </c>
      <c r="B4" s="12" t="s">
        <v>25</v>
      </c>
      <c r="C4" s="10">
        <v>7.7399999999999997E-2</v>
      </c>
      <c r="D4" s="11">
        <v>4.91</v>
      </c>
      <c r="E4" s="11">
        <v>3.8</v>
      </c>
      <c r="F4" s="11">
        <v>4.84</v>
      </c>
      <c r="G4" s="11">
        <v>3.82</v>
      </c>
      <c r="H4" s="11">
        <v>4.93</v>
      </c>
      <c r="I4" s="11">
        <v>3.81</v>
      </c>
      <c r="J4" s="11">
        <f t="shared" ref="J4:K19" si="8">AVERAGE(D4,F4,H4)</f>
        <v>4.8933333333333335</v>
      </c>
      <c r="K4" s="11">
        <f t="shared" si="8"/>
        <v>3.81</v>
      </c>
      <c r="L4" s="11">
        <f t="shared" ref="L4:L19" si="9">_xlfn.STDEV.S(D4,G4,I4)</f>
        <v>0.63221831672294637</v>
      </c>
      <c r="M4" s="11">
        <f t="shared" si="0"/>
        <v>1.0000000000000009E-2</v>
      </c>
      <c r="N4" s="67">
        <f t="shared" si="1"/>
        <v>71.950938359407687</v>
      </c>
      <c r="O4" s="68"/>
      <c r="P4" s="11">
        <f t="shared" si="2"/>
        <v>70.281976686966061</v>
      </c>
      <c r="Q4" s="11">
        <f t="shared" si="3"/>
        <v>32.324080337839291</v>
      </c>
      <c r="R4" s="11">
        <f t="shared" ref="R4:R19" si="10">AVERAGE(N4:Q4)</f>
        <v>58.185665128071015</v>
      </c>
      <c r="S4" s="11">
        <f t="shared" si="4"/>
        <v>1.0757330170368771E-3</v>
      </c>
      <c r="T4" s="11">
        <f t="shared" si="5"/>
        <v>1.1012780750993588E-3</v>
      </c>
      <c r="U4" s="11">
        <f t="shared" si="6"/>
        <v>2.394499679218834E-3</v>
      </c>
      <c r="V4" s="11">
        <f t="shared" ref="V4:V19" si="11">AVERAGE(S4:U4)</f>
        <v>1.5238369237850231E-3</v>
      </c>
      <c r="W4" s="23">
        <f t="shared" si="7"/>
        <v>1.3302245463661332E-3</v>
      </c>
      <c r="X4" s="11">
        <f t="shared" ref="X4:X19" si="12">W4*10^6</f>
        <v>1330.2245463661332</v>
      </c>
      <c r="Y4" s="25">
        <f t="shared" ref="Y4:Y31" si="13">2*PI()*J4/2*(J4/2+K4)</f>
        <v>96.182861055964963</v>
      </c>
    </row>
    <row r="5" spans="1:26" x14ac:dyDescent="0.25">
      <c r="A5" s="12" t="s">
        <v>80</v>
      </c>
      <c r="B5" s="12" t="s">
        <v>26</v>
      </c>
      <c r="C5" s="10">
        <v>2.6599999999999999E-2</v>
      </c>
      <c r="D5" s="11">
        <v>3.05</v>
      </c>
      <c r="E5" s="11">
        <v>3.21</v>
      </c>
      <c r="F5" s="11">
        <v>3.05</v>
      </c>
      <c r="G5" s="11">
        <v>3.18</v>
      </c>
      <c r="H5" s="11">
        <v>3.03</v>
      </c>
      <c r="I5" s="11">
        <v>3.21</v>
      </c>
      <c r="J5" s="11">
        <f t="shared" si="8"/>
        <v>3.043333333333333</v>
      </c>
      <c r="K5" s="11">
        <f t="shared" si="8"/>
        <v>3.2000000000000006</v>
      </c>
      <c r="L5" s="11">
        <f t="shared" si="9"/>
        <v>8.5049005481153933E-2</v>
      </c>
      <c r="M5" s="11">
        <f t="shared" si="0"/>
        <v>1.7320508075688659E-2</v>
      </c>
      <c r="N5" s="67">
        <f t="shared" si="1"/>
        <v>23.452794192165285</v>
      </c>
      <c r="O5" s="68"/>
      <c r="P5" s="11">
        <f t="shared" si="2"/>
        <v>23.233609199715143</v>
      </c>
      <c r="Q5" s="11">
        <f t="shared" si="3"/>
        <v>10.287211117625503</v>
      </c>
      <c r="R5" s="11">
        <f t="shared" si="10"/>
        <v>18.991204836501979</v>
      </c>
      <c r="S5" s="11">
        <f t="shared" si="4"/>
        <v>1.1341932130580022E-3</v>
      </c>
      <c r="T5" s="11">
        <f t="shared" si="5"/>
        <v>1.1448931490302475E-3</v>
      </c>
      <c r="U5" s="11">
        <f t="shared" si="6"/>
        <v>2.5857348212116617E-3</v>
      </c>
      <c r="V5" s="11">
        <f t="shared" si="11"/>
        <v>1.6216070610999705E-3</v>
      </c>
      <c r="W5" s="23">
        <f t="shared" si="7"/>
        <v>1.4006483648090384E-3</v>
      </c>
      <c r="X5" s="11">
        <f t="shared" si="12"/>
        <v>1400.6483648090384</v>
      </c>
      <c r="Y5" s="25">
        <f t="shared" si="13"/>
        <v>45.143447248316413</v>
      </c>
    </row>
    <row r="6" spans="1:26" x14ac:dyDescent="0.25">
      <c r="A6" s="12" t="s">
        <v>80</v>
      </c>
      <c r="B6" s="12" t="s">
        <v>27</v>
      </c>
      <c r="C6" s="10">
        <v>8.1600000000000006E-2</v>
      </c>
      <c r="D6" s="11">
        <v>4.95</v>
      </c>
      <c r="E6" s="11">
        <v>3.76</v>
      </c>
      <c r="F6" s="11">
        <v>4.92</v>
      </c>
      <c r="G6" s="11">
        <v>3.79</v>
      </c>
      <c r="H6" s="11">
        <v>4.9000000000000004</v>
      </c>
      <c r="I6" s="11">
        <v>3.79</v>
      </c>
      <c r="J6" s="11">
        <f t="shared" si="8"/>
        <v>4.9233333333333338</v>
      </c>
      <c r="K6" s="11">
        <f t="shared" si="8"/>
        <v>3.78</v>
      </c>
      <c r="L6" s="11">
        <f t="shared" si="9"/>
        <v>0.66972631225996349</v>
      </c>
      <c r="M6" s="11">
        <f t="shared" si="0"/>
        <v>1.7320508075688915E-2</v>
      </c>
      <c r="N6" s="67">
        <f t="shared" si="1"/>
        <v>72.358261554908879</v>
      </c>
      <c r="O6" s="68"/>
      <c r="P6" s="11">
        <f t="shared" si="2"/>
        <v>72.05419936833853</v>
      </c>
      <c r="Q6" s="11">
        <f t="shared" si="3"/>
        <v>31.764259348010963</v>
      </c>
      <c r="R6" s="11">
        <f t="shared" si="10"/>
        <v>58.725573423752792</v>
      </c>
      <c r="S6" s="11">
        <f t="shared" si="4"/>
        <v>1.1277219524971321E-3</v>
      </c>
      <c r="T6" s="11">
        <f t="shared" si="5"/>
        <v>1.1324808368609258E-3</v>
      </c>
      <c r="U6" s="11">
        <f t="shared" si="6"/>
        <v>2.5689250017129611E-3</v>
      </c>
      <c r="V6" s="11">
        <f t="shared" si="11"/>
        <v>1.6097092636903395E-3</v>
      </c>
      <c r="W6" s="23">
        <f t="shared" si="7"/>
        <v>1.389513890502007E-3</v>
      </c>
      <c r="X6" s="11">
        <f t="shared" si="12"/>
        <v>1389.5138905020069</v>
      </c>
      <c r="Y6" s="25">
        <f t="shared" si="13"/>
        <v>96.540531379576151</v>
      </c>
    </row>
    <row r="7" spans="1:26" x14ac:dyDescent="0.25">
      <c r="A7" s="12" t="s">
        <v>80</v>
      </c>
      <c r="B7" s="12" t="s">
        <v>28</v>
      </c>
      <c r="C7" s="10">
        <v>0.11310000000000001</v>
      </c>
      <c r="D7" s="11">
        <v>4.99</v>
      </c>
      <c r="E7" s="11">
        <v>5.19</v>
      </c>
      <c r="F7" s="11">
        <v>5.03</v>
      </c>
      <c r="G7" s="11">
        <v>5.17</v>
      </c>
      <c r="H7" s="11">
        <v>5.03</v>
      </c>
      <c r="I7" s="11">
        <v>5.18</v>
      </c>
      <c r="J7" s="11">
        <f t="shared" si="8"/>
        <v>5.0166666666666666</v>
      </c>
      <c r="K7" s="11">
        <f t="shared" si="8"/>
        <v>5.18</v>
      </c>
      <c r="L7" s="11">
        <f t="shared" si="9"/>
        <v>0.10692676621563604</v>
      </c>
      <c r="M7" s="11">
        <f t="shared" si="0"/>
        <v>1.0000000000000231E-2</v>
      </c>
      <c r="N7" s="67">
        <f t="shared" si="1"/>
        <v>101.49819767566245</v>
      </c>
      <c r="O7" s="68"/>
      <c r="P7" s="11">
        <f t="shared" si="2"/>
        <v>102.73451962820394</v>
      </c>
      <c r="Q7" s="11">
        <f t="shared" si="3"/>
        <v>45.748103303167539</v>
      </c>
      <c r="R7" s="11">
        <f t="shared" si="10"/>
        <v>83.326940202344645</v>
      </c>
      <c r="S7" s="11">
        <f t="shared" si="4"/>
        <v>1.1143055008859478E-3</v>
      </c>
      <c r="T7" s="11">
        <f t="shared" si="5"/>
        <v>1.1008957885753369E-3</v>
      </c>
      <c r="U7" s="11">
        <f t="shared" si="6"/>
        <v>2.4722336410429742E-3</v>
      </c>
      <c r="V7" s="11">
        <f t="shared" si="11"/>
        <v>1.5624783101680865E-3</v>
      </c>
      <c r="W7" s="23">
        <f t="shared" si="7"/>
        <v>1.3573041290770643E-3</v>
      </c>
      <c r="X7" s="11">
        <f t="shared" si="12"/>
        <v>1357.3041290770643</v>
      </c>
      <c r="Y7" s="25">
        <f t="shared" si="13"/>
        <v>121.17061778372012</v>
      </c>
    </row>
    <row r="8" spans="1:26" x14ac:dyDescent="0.25">
      <c r="A8" s="12" t="s">
        <v>80</v>
      </c>
      <c r="B8" s="12" t="s">
        <v>29</v>
      </c>
      <c r="C8" s="10">
        <v>7.9899999999999999E-2</v>
      </c>
      <c r="D8" s="11">
        <v>4.95</v>
      </c>
      <c r="E8" s="11">
        <v>3.79</v>
      </c>
      <c r="F8" s="11">
        <v>4.93</v>
      </c>
      <c r="G8" s="11">
        <v>3.77</v>
      </c>
      <c r="H8" s="11">
        <v>4.93</v>
      </c>
      <c r="I8" s="11">
        <v>3.76</v>
      </c>
      <c r="J8" s="11">
        <f t="shared" si="8"/>
        <v>4.9366666666666665</v>
      </c>
      <c r="K8" s="11">
        <f t="shared" si="8"/>
        <v>3.7733333333333334</v>
      </c>
      <c r="L8" s="11">
        <f t="shared" si="9"/>
        <v>0.68417833932389271</v>
      </c>
      <c r="M8" s="11">
        <f t="shared" si="0"/>
        <v>1.5275252316519579E-2</v>
      </c>
      <c r="N8" s="67">
        <f t="shared" si="1"/>
        <v>72.935588109868263</v>
      </c>
      <c r="O8" s="68"/>
      <c r="P8" s="11">
        <f t="shared" si="2"/>
        <v>71.965619807276056</v>
      </c>
      <c r="Q8" s="11">
        <f t="shared" si="3"/>
        <v>31.899879808471322</v>
      </c>
      <c r="R8" s="11">
        <f t="shared" si="10"/>
        <v>58.933695908538546</v>
      </c>
      <c r="S8" s="11">
        <f t="shared" si="4"/>
        <v>1.095487156141673E-3</v>
      </c>
      <c r="T8" s="11">
        <f t="shared" si="5"/>
        <v>1.1102523707010683E-3</v>
      </c>
      <c r="U8" s="11">
        <f t="shared" si="6"/>
        <v>2.5047116315084603E-3</v>
      </c>
      <c r="V8" s="11">
        <f t="shared" si="11"/>
        <v>1.5701503861170671E-3</v>
      </c>
      <c r="W8" s="23">
        <f t="shared" si="7"/>
        <v>1.3557608897293641E-3</v>
      </c>
      <c r="X8" s="11">
        <f t="shared" si="12"/>
        <v>1355.7608897293642</v>
      </c>
      <c r="Y8" s="25">
        <f t="shared" si="13"/>
        <v>96.801981701524909</v>
      </c>
    </row>
    <row r="9" spans="1:26" x14ac:dyDescent="0.25">
      <c r="A9" s="12" t="s">
        <v>80</v>
      </c>
      <c r="B9" s="12" t="s">
        <v>30</v>
      </c>
      <c r="C9" s="10">
        <v>2.6200000000000001E-2</v>
      </c>
      <c r="D9" s="11">
        <v>3.06</v>
      </c>
      <c r="E9" s="11">
        <v>3.18</v>
      </c>
      <c r="F9" s="11">
        <v>3.03</v>
      </c>
      <c r="G9" s="11">
        <v>3.16</v>
      </c>
      <c r="H9" s="11">
        <v>3.09</v>
      </c>
      <c r="I9" s="11">
        <v>3.2</v>
      </c>
      <c r="J9" s="11">
        <f t="shared" si="8"/>
        <v>3.06</v>
      </c>
      <c r="K9" s="11">
        <f t="shared" si="8"/>
        <v>3.1799999999999997</v>
      </c>
      <c r="L9" s="11">
        <f t="shared" si="9"/>
        <v>7.211102550927985E-2</v>
      </c>
      <c r="M9" s="11">
        <f t="shared" si="0"/>
        <v>2.0000000000000018E-2</v>
      </c>
      <c r="N9" s="67">
        <f t="shared" si="1"/>
        <v>23.386210492066944</v>
      </c>
      <c r="O9" s="68"/>
      <c r="P9" s="11">
        <f t="shared" si="2"/>
        <v>22.7856919147406</v>
      </c>
      <c r="Q9" s="11">
        <f t="shared" si="3"/>
        <v>10.665330067818918</v>
      </c>
      <c r="R9" s="11">
        <f t="shared" si="10"/>
        <v>18.945744158208822</v>
      </c>
      <c r="S9" s="11">
        <f t="shared" si="4"/>
        <v>1.1203183178774324E-3</v>
      </c>
      <c r="T9" s="11">
        <f t="shared" si="5"/>
        <v>1.1498443891032602E-3</v>
      </c>
      <c r="U9" s="11">
        <f t="shared" si="6"/>
        <v>2.4565578217831899E-3</v>
      </c>
      <c r="V9" s="11">
        <f t="shared" si="11"/>
        <v>1.5755735095879608E-3</v>
      </c>
      <c r="W9" s="23">
        <f t="shared" si="7"/>
        <v>1.3828963265424469E-3</v>
      </c>
      <c r="X9" s="11">
        <f t="shared" si="12"/>
        <v>1382.896326542447</v>
      </c>
      <c r="Y9" s="25">
        <f t="shared" si="13"/>
        <v>45.278518279128257</v>
      </c>
    </row>
    <row r="10" spans="1:26" x14ac:dyDescent="0.25">
      <c r="A10" s="12" t="s">
        <v>80</v>
      </c>
      <c r="B10" s="12" t="s">
        <v>31</v>
      </c>
      <c r="C10" s="10">
        <v>6.6500000000000004E-2</v>
      </c>
      <c r="D10" s="11">
        <v>4.92</v>
      </c>
      <c r="E10" s="11">
        <v>3.13</v>
      </c>
      <c r="F10" s="11">
        <v>4.88</v>
      </c>
      <c r="G10" s="11">
        <v>3.1</v>
      </c>
      <c r="H10" s="11">
        <v>4.91</v>
      </c>
      <c r="I10" s="11">
        <v>3.11</v>
      </c>
      <c r="J10" s="11">
        <f t="shared" si="8"/>
        <v>4.9033333333333333</v>
      </c>
      <c r="K10" s="11">
        <f t="shared" si="8"/>
        <v>3.1133333333333333</v>
      </c>
      <c r="L10" s="11">
        <f t="shared" si="9"/>
        <v>1.0479026672358487</v>
      </c>
      <c r="M10" s="11">
        <f t="shared" si="0"/>
        <v>1.5275252316519385E-2</v>
      </c>
      <c r="N10" s="67">
        <f t="shared" si="1"/>
        <v>59.506502380712291</v>
      </c>
      <c r="O10" s="68"/>
      <c r="P10" s="11">
        <f t="shared" si="2"/>
        <v>57.981736669477797</v>
      </c>
      <c r="Q10" s="11">
        <f t="shared" si="3"/>
        <v>26.171627871082794</v>
      </c>
      <c r="R10" s="11">
        <f t="shared" si="10"/>
        <v>47.88662230709096</v>
      </c>
      <c r="S10" s="11">
        <f t="shared" si="4"/>
        <v>1.1175249315536061E-3</v>
      </c>
      <c r="T10" s="11">
        <f t="shared" si="5"/>
        <v>1.1469128698072665E-3</v>
      </c>
      <c r="U10" s="11">
        <f t="shared" si="6"/>
        <v>2.5409195151164556E-3</v>
      </c>
      <c r="V10" s="11">
        <f t="shared" si="11"/>
        <v>1.6017857721591095E-3</v>
      </c>
      <c r="W10" s="23">
        <f t="shared" si="7"/>
        <v>1.3886968175275292E-3</v>
      </c>
      <c r="X10" s="11">
        <f t="shared" si="12"/>
        <v>1388.6968175275292</v>
      </c>
      <c r="Y10" s="25">
        <f t="shared" si="13"/>
        <v>85.724795818137352</v>
      </c>
    </row>
    <row r="11" spans="1:26" x14ac:dyDescent="0.25">
      <c r="A11" s="12" t="s">
        <v>80</v>
      </c>
      <c r="B11" s="12" t="s">
        <v>32</v>
      </c>
      <c r="C11" s="10">
        <v>0.1148</v>
      </c>
      <c r="D11" s="11">
        <v>5.08</v>
      </c>
      <c r="E11" s="11">
        <v>5.18</v>
      </c>
      <c r="F11" s="11">
        <v>5.01</v>
      </c>
      <c r="G11" s="11">
        <v>5.24</v>
      </c>
      <c r="H11" s="11">
        <v>5.0199999999999996</v>
      </c>
      <c r="I11" s="11">
        <v>5.18</v>
      </c>
      <c r="J11" s="11">
        <f t="shared" si="8"/>
        <v>5.0366666666666662</v>
      </c>
      <c r="K11" s="11">
        <f t="shared" si="8"/>
        <v>5.2</v>
      </c>
      <c r="L11" s="11">
        <f t="shared" si="9"/>
        <v>8.0829037686547645E-2</v>
      </c>
      <c r="M11" s="11">
        <f t="shared" si="0"/>
        <v>3.4641016151377831E-2</v>
      </c>
      <c r="N11" s="67">
        <f t="shared" si="1"/>
        <v>104.98978966900151</v>
      </c>
      <c r="O11" s="68"/>
      <c r="P11" s="11">
        <f t="shared" si="2"/>
        <v>103.2991195913236</v>
      </c>
      <c r="Q11" s="11">
        <f t="shared" si="3"/>
        <v>45.566383112108369</v>
      </c>
      <c r="R11" s="11">
        <f t="shared" si="10"/>
        <v>84.618430790811161</v>
      </c>
      <c r="S11" s="11">
        <f t="shared" si="4"/>
        <v>1.0934396607701271E-3</v>
      </c>
      <c r="T11" s="11">
        <f t="shared" si="5"/>
        <v>1.1113357059980441E-3</v>
      </c>
      <c r="U11" s="11">
        <f t="shared" si="6"/>
        <v>2.5194011935850613E-3</v>
      </c>
      <c r="V11" s="11">
        <f t="shared" si="11"/>
        <v>1.5747255201177441E-3</v>
      </c>
      <c r="W11" s="23">
        <f t="shared" si="7"/>
        <v>1.3566784319577136E-3</v>
      </c>
      <c r="X11" s="11">
        <f t="shared" si="12"/>
        <v>1356.6784319577137</v>
      </c>
      <c r="Y11" s="25">
        <f t="shared" si="13"/>
        <v>122.12838466404452</v>
      </c>
    </row>
    <row r="12" spans="1:26" x14ac:dyDescent="0.25">
      <c r="A12" s="12" t="s">
        <v>80</v>
      </c>
      <c r="B12" s="12" t="s">
        <v>33</v>
      </c>
      <c r="C12" s="10">
        <v>2.52E-2</v>
      </c>
      <c r="D12" s="11">
        <v>3.01</v>
      </c>
      <c r="E12" s="11">
        <v>3.17</v>
      </c>
      <c r="F12" s="11">
        <v>2.99</v>
      </c>
      <c r="G12" s="11">
        <v>3.17</v>
      </c>
      <c r="H12" s="11">
        <v>3.03</v>
      </c>
      <c r="I12" s="11">
        <v>3.15</v>
      </c>
      <c r="J12" s="11">
        <f t="shared" si="8"/>
        <v>3.01</v>
      </c>
      <c r="K12" s="11">
        <f t="shared" si="8"/>
        <v>3.1633333333333336</v>
      </c>
      <c r="L12" s="11">
        <f t="shared" si="9"/>
        <v>8.7177978870813549E-2</v>
      </c>
      <c r="M12" s="11">
        <f t="shared" si="0"/>
        <v>1.1547005383792526E-2</v>
      </c>
      <c r="N12" s="67">
        <f t="shared" si="1"/>
        <v>22.557041303625187</v>
      </c>
      <c r="O12" s="68"/>
      <c r="P12" s="11">
        <f t="shared" si="2"/>
        <v>22.258275842268805</v>
      </c>
      <c r="Q12" s="11">
        <f t="shared" si="3"/>
        <v>10.094926797669887</v>
      </c>
      <c r="R12" s="11">
        <f t="shared" si="10"/>
        <v>18.303414647854627</v>
      </c>
      <c r="S12" s="11">
        <f t="shared" si="4"/>
        <v>1.1171677907931151E-3</v>
      </c>
      <c r="T12" s="11">
        <f t="shared" si="5"/>
        <v>1.1321631638756501E-3</v>
      </c>
      <c r="U12" s="11">
        <f t="shared" si="6"/>
        <v>2.496303391305093E-3</v>
      </c>
      <c r="V12" s="11">
        <f t="shared" si="11"/>
        <v>1.5818781153246191E-3</v>
      </c>
      <c r="W12" s="23">
        <f t="shared" si="7"/>
        <v>1.3767922808301638E-3</v>
      </c>
      <c r="X12" s="11">
        <f t="shared" si="12"/>
        <v>1376.7922808301637</v>
      </c>
      <c r="Y12" s="25">
        <f t="shared" si="13"/>
        <v>44.144665130570132</v>
      </c>
    </row>
    <row r="13" spans="1:26" x14ac:dyDescent="0.25">
      <c r="A13" s="12" t="s">
        <v>80</v>
      </c>
      <c r="B13" s="12" t="s">
        <v>34</v>
      </c>
      <c r="C13" s="10">
        <v>6.3600000000000004E-2</v>
      </c>
      <c r="D13" s="11">
        <v>4.93</v>
      </c>
      <c r="E13" s="11">
        <v>3.06</v>
      </c>
      <c r="F13" s="11">
        <v>4.95</v>
      </c>
      <c r="G13" s="11">
        <v>3.06</v>
      </c>
      <c r="H13" s="11">
        <v>4.97</v>
      </c>
      <c r="I13" s="11">
        <v>3.07</v>
      </c>
      <c r="J13" s="11">
        <f t="shared" si="8"/>
        <v>4.9499999999999993</v>
      </c>
      <c r="K13" s="11">
        <f t="shared" si="8"/>
        <v>3.063333333333333</v>
      </c>
      <c r="L13" s="11">
        <f t="shared" si="9"/>
        <v>1.0767698608956924</v>
      </c>
      <c r="M13" s="11">
        <f t="shared" si="0"/>
        <v>5.7735026918961348E-3</v>
      </c>
      <c r="N13" s="67">
        <f t="shared" si="1"/>
        <v>58.412412893969432</v>
      </c>
      <c r="O13" s="68"/>
      <c r="P13" s="11">
        <f t="shared" si="2"/>
        <v>58.887308605856695</v>
      </c>
      <c r="Q13" s="11">
        <f t="shared" si="3"/>
        <v>26.470278838840244</v>
      </c>
      <c r="R13" s="11">
        <f t="shared" si="10"/>
        <v>47.923333446222124</v>
      </c>
      <c r="S13" s="11">
        <f t="shared" si="4"/>
        <v>1.0888096698803919E-3</v>
      </c>
      <c r="T13" s="11">
        <f t="shared" si="5"/>
        <v>1.0800289825722243E-3</v>
      </c>
      <c r="U13" s="11">
        <f t="shared" si="6"/>
        <v>2.4026947501088938E-3</v>
      </c>
      <c r="V13" s="11">
        <f t="shared" si="11"/>
        <v>1.5238444675205033E-3</v>
      </c>
      <c r="W13" s="23">
        <f t="shared" si="7"/>
        <v>1.3271197019583307E-3</v>
      </c>
      <c r="X13" s="11">
        <f t="shared" si="12"/>
        <v>1327.1197019583308</v>
      </c>
      <c r="Y13" s="25">
        <f t="shared" si="13"/>
        <v>86.125977200000747</v>
      </c>
    </row>
    <row r="14" spans="1:26" x14ac:dyDescent="0.25">
      <c r="A14" s="12" t="s">
        <v>80</v>
      </c>
      <c r="B14" s="12" t="s">
        <v>35</v>
      </c>
      <c r="C14" s="10">
        <v>2.3900000000000001E-2</v>
      </c>
      <c r="D14" s="11">
        <v>2.96</v>
      </c>
      <c r="E14" s="11">
        <v>3.16</v>
      </c>
      <c r="F14" s="11">
        <v>2.97</v>
      </c>
      <c r="G14" s="11">
        <v>3.16</v>
      </c>
      <c r="H14" s="11">
        <v>2.97</v>
      </c>
      <c r="I14" s="11">
        <v>3.16</v>
      </c>
      <c r="J14" s="11">
        <f t="shared" si="8"/>
        <v>2.9666666666666668</v>
      </c>
      <c r="K14" s="11">
        <f t="shared" si="8"/>
        <v>3.16</v>
      </c>
      <c r="L14" s="11">
        <f t="shared" si="9"/>
        <v>0.11547005383792526</v>
      </c>
      <c r="M14" s="11">
        <f t="shared" si="0"/>
        <v>0</v>
      </c>
      <c r="N14" s="67">
        <f t="shared" si="1"/>
        <v>21.74504877301694</v>
      </c>
      <c r="O14" s="68"/>
      <c r="P14" s="11">
        <f t="shared" si="2"/>
        <v>21.89222296405967</v>
      </c>
      <c r="Q14" s="11">
        <f t="shared" si="3"/>
        <v>9.7298768729154066</v>
      </c>
      <c r="R14" s="11">
        <f t="shared" si="10"/>
        <v>17.789049536664006</v>
      </c>
      <c r="S14" s="11">
        <f t="shared" si="4"/>
        <v>1.0991007768930416E-3</v>
      </c>
      <c r="T14" s="11">
        <f t="shared" si="5"/>
        <v>1.091711885048699E-3</v>
      </c>
      <c r="U14" s="11">
        <f t="shared" si="6"/>
        <v>2.4563517413595734E-3</v>
      </c>
      <c r="V14" s="11">
        <f t="shared" si="11"/>
        <v>1.549054801100438E-3</v>
      </c>
      <c r="W14" s="23">
        <f t="shared" si="7"/>
        <v>1.3435231573638074E-3</v>
      </c>
      <c r="X14" s="11">
        <f t="shared" si="12"/>
        <v>1343.5231573638075</v>
      </c>
      <c r="Y14" s="25">
        <f t="shared" si="13"/>
        <v>43.276136934900208</v>
      </c>
    </row>
    <row r="15" spans="1:26" x14ac:dyDescent="0.25">
      <c r="A15" s="12" t="s">
        <v>80</v>
      </c>
      <c r="B15" s="12" t="s">
        <v>36</v>
      </c>
      <c r="C15" s="10">
        <v>0.11</v>
      </c>
      <c r="D15" s="11">
        <v>5.0199999999999996</v>
      </c>
      <c r="E15" s="11">
        <v>5.17</v>
      </c>
      <c r="F15" s="11">
        <v>5.0199999999999996</v>
      </c>
      <c r="G15" s="11">
        <v>5.17</v>
      </c>
      <c r="H15" s="11">
        <v>4.99</v>
      </c>
      <c r="I15" s="11">
        <v>5.16</v>
      </c>
      <c r="J15" s="11">
        <f t="shared" si="8"/>
        <v>5.01</v>
      </c>
      <c r="K15" s="11">
        <f t="shared" si="8"/>
        <v>5.166666666666667</v>
      </c>
      <c r="L15" s="11">
        <f t="shared" si="9"/>
        <v>8.3864970836061092E-2</v>
      </c>
      <c r="M15" s="11">
        <f t="shared" si="0"/>
        <v>5.7735026918961348E-3</v>
      </c>
      <c r="N15" s="67">
        <f t="shared" si="1"/>
        <v>102.32643852347503</v>
      </c>
      <c r="O15" s="68"/>
      <c r="P15" s="11">
        <f t="shared" si="2"/>
        <v>102.32643852347503</v>
      </c>
      <c r="Q15" s="11">
        <f t="shared" si="3"/>
        <v>44.849556840626697</v>
      </c>
      <c r="R15" s="11">
        <f t="shared" si="10"/>
        <v>83.167477962525581</v>
      </c>
      <c r="S15" s="11">
        <f t="shared" si="4"/>
        <v>1.0749909953600559E-3</v>
      </c>
      <c r="T15" s="11">
        <f t="shared" si="5"/>
        <v>1.0749909953600559E-3</v>
      </c>
      <c r="U15" s="11">
        <f t="shared" si="6"/>
        <v>2.4526440783102046E-3</v>
      </c>
      <c r="V15" s="11">
        <f t="shared" si="11"/>
        <v>1.5342086896767721E-3</v>
      </c>
      <c r="W15" s="23">
        <f t="shared" si="7"/>
        <v>1.3226323882222914E-3</v>
      </c>
      <c r="X15" s="11">
        <f t="shared" si="12"/>
        <v>1322.6323882222914</v>
      </c>
      <c r="Y15" s="25">
        <f t="shared" si="13"/>
        <v>120.74727072035638</v>
      </c>
    </row>
    <row r="16" spans="1:26" x14ac:dyDescent="0.25">
      <c r="A16" s="12" t="s">
        <v>80</v>
      </c>
      <c r="B16" s="12" t="s">
        <v>37</v>
      </c>
      <c r="C16" s="10">
        <v>0.1096</v>
      </c>
      <c r="D16" s="11">
        <v>5.04</v>
      </c>
      <c r="E16" s="11">
        <v>5.15</v>
      </c>
      <c r="F16" s="11">
        <v>5.04</v>
      </c>
      <c r="G16" s="11">
        <v>5.16</v>
      </c>
      <c r="H16" s="11">
        <v>5.0599999999999996</v>
      </c>
      <c r="I16" s="11">
        <v>5.18</v>
      </c>
      <c r="J16" s="11">
        <f t="shared" si="8"/>
        <v>5.0466666666666669</v>
      </c>
      <c r="K16" s="11">
        <f t="shared" si="8"/>
        <v>5.1633333333333331</v>
      </c>
      <c r="L16" s="11">
        <f t="shared" si="9"/>
        <v>7.5718777944003557E-2</v>
      </c>
      <c r="M16" s="11">
        <f t="shared" si="0"/>
        <v>1.5275252316519142E-2</v>
      </c>
      <c r="N16" s="67">
        <f t="shared" si="1"/>
        <v>102.74440543488662</v>
      </c>
      <c r="O16" s="68"/>
      <c r="P16" s="11">
        <f t="shared" si="2"/>
        <v>102.94390913476018</v>
      </c>
      <c r="Q16" s="11">
        <f t="shared" si="3"/>
        <v>46.295433669671041</v>
      </c>
      <c r="R16" s="11">
        <f t="shared" si="10"/>
        <v>83.994582746439278</v>
      </c>
      <c r="S16" s="11">
        <f t="shared" si="4"/>
        <v>1.0667247480395227E-3</v>
      </c>
      <c r="T16" s="11">
        <f t="shared" si="5"/>
        <v>1.0646574520161904E-3</v>
      </c>
      <c r="U16" s="11">
        <f t="shared" si="6"/>
        <v>2.3674041112136919E-3</v>
      </c>
      <c r="V16" s="11">
        <f t="shared" si="11"/>
        <v>1.4995954370898019E-3</v>
      </c>
      <c r="W16" s="23">
        <f t="shared" si="7"/>
        <v>1.3048460557374005E-3</v>
      </c>
      <c r="X16" s="11">
        <f t="shared" si="12"/>
        <v>1304.8460557374005</v>
      </c>
      <c r="Y16" s="25">
        <f t="shared" si="13"/>
        <v>121.86880184439541</v>
      </c>
    </row>
    <row r="17" spans="1:25" x14ac:dyDescent="0.25">
      <c r="A17" s="12" t="s">
        <v>80</v>
      </c>
      <c r="B17" s="12" t="s">
        <v>38</v>
      </c>
      <c r="C17" s="10">
        <v>6.9699999999999998E-2</v>
      </c>
      <c r="D17" s="11">
        <v>5.04</v>
      </c>
      <c r="E17" s="11">
        <v>3.09</v>
      </c>
      <c r="F17" s="11">
        <v>5.08</v>
      </c>
      <c r="G17" s="11">
        <v>3.09</v>
      </c>
      <c r="H17" s="11">
        <v>5.03</v>
      </c>
      <c r="I17" s="11">
        <v>3.07</v>
      </c>
      <c r="J17" s="11">
        <f t="shared" si="8"/>
        <v>5.0500000000000007</v>
      </c>
      <c r="K17" s="11">
        <f t="shared" si="8"/>
        <v>3.0833333333333335</v>
      </c>
      <c r="L17" s="11">
        <f t="shared" si="9"/>
        <v>1.1316507117186547</v>
      </c>
      <c r="M17" s="11">
        <f t="shared" si="0"/>
        <v>1.1547005383792526E-2</v>
      </c>
      <c r="N17" s="67">
        <f t="shared" si="1"/>
        <v>61.646643260931967</v>
      </c>
      <c r="O17" s="68"/>
      <c r="P17" s="11">
        <f t="shared" si="2"/>
        <v>62.629044416450711</v>
      </c>
      <c r="Q17" s="11">
        <f t="shared" si="3"/>
        <v>27.113258135274968</v>
      </c>
      <c r="R17" s="11">
        <f t="shared" si="10"/>
        <v>50.462981937552549</v>
      </c>
      <c r="S17" s="11">
        <f t="shared" si="4"/>
        <v>1.1306373926148834E-3</v>
      </c>
      <c r="T17" s="11">
        <f t="shared" si="5"/>
        <v>1.1129021790038994E-3</v>
      </c>
      <c r="U17" s="11">
        <f t="shared" si="6"/>
        <v>2.5706980567310983E-3</v>
      </c>
      <c r="V17" s="11">
        <f t="shared" si="11"/>
        <v>1.6047458761166272E-3</v>
      </c>
      <c r="W17" s="23">
        <f t="shared" si="7"/>
        <v>1.3812104898250578E-3</v>
      </c>
      <c r="X17" s="11">
        <f t="shared" si="12"/>
        <v>1381.2104898250577</v>
      </c>
      <c r="Y17" s="25">
        <f t="shared" si="13"/>
        <v>88.976448934357947</v>
      </c>
    </row>
    <row r="18" spans="1:25" x14ac:dyDescent="0.25">
      <c r="A18" s="12" t="s">
        <v>80</v>
      </c>
      <c r="B18" s="12" t="s">
        <v>39</v>
      </c>
      <c r="C18" s="10">
        <v>2.5399999999999999E-2</v>
      </c>
      <c r="D18" s="11">
        <v>3.16</v>
      </c>
      <c r="E18" s="11">
        <v>3.12</v>
      </c>
      <c r="F18" s="11">
        <v>3.15</v>
      </c>
      <c r="G18" s="11">
        <v>3.11</v>
      </c>
      <c r="H18" s="11">
        <v>3.13</v>
      </c>
      <c r="I18" s="11">
        <v>3.12</v>
      </c>
      <c r="J18" s="11">
        <f t="shared" si="8"/>
        <v>3.1466666666666669</v>
      </c>
      <c r="K18" s="11">
        <f t="shared" si="8"/>
        <v>3.1166666666666671</v>
      </c>
      <c r="L18" s="11">
        <f t="shared" si="9"/>
        <v>2.6457513110646012E-2</v>
      </c>
      <c r="M18" s="11">
        <f t="shared" si="0"/>
        <v>5.7735026918963907E-3</v>
      </c>
      <c r="N18" s="67">
        <f t="shared" si="1"/>
        <v>24.469136329315269</v>
      </c>
      <c r="O18" s="68"/>
      <c r="P18" s="11">
        <f t="shared" si="2"/>
        <v>24.236582289327771</v>
      </c>
      <c r="Q18" s="11">
        <f t="shared" si="3"/>
        <v>10.669661276890665</v>
      </c>
      <c r="R18" s="11">
        <f t="shared" si="10"/>
        <v>19.791793298511234</v>
      </c>
      <c r="S18" s="11">
        <f t="shared" si="4"/>
        <v>1.0380423590827562E-3</v>
      </c>
      <c r="T18" s="11">
        <f t="shared" si="5"/>
        <v>1.0480025482464382E-3</v>
      </c>
      <c r="U18" s="11">
        <f t="shared" si="6"/>
        <v>2.3805816642945973E-3</v>
      </c>
      <c r="V18" s="11">
        <f t="shared" si="11"/>
        <v>1.4888755238745971E-3</v>
      </c>
      <c r="W18" s="23">
        <f t="shared" si="7"/>
        <v>1.2833602098052744E-3</v>
      </c>
      <c r="X18" s="11">
        <f t="shared" si="12"/>
        <v>1283.3602098052743</v>
      </c>
      <c r="Y18" s="25">
        <f t="shared" si="13"/>
        <v>46.363205502657699</v>
      </c>
    </row>
    <row r="19" spans="1:25" x14ac:dyDescent="0.25">
      <c r="A19" s="12" t="s">
        <v>80</v>
      </c>
      <c r="B19" s="12" t="s">
        <v>40</v>
      </c>
      <c r="C19" s="10">
        <v>0.111</v>
      </c>
      <c r="D19" s="11">
        <v>5.01</v>
      </c>
      <c r="E19" s="11">
        <v>5.23</v>
      </c>
      <c r="F19" s="11">
        <v>4.9800000000000004</v>
      </c>
      <c r="G19" s="11">
        <v>5.23</v>
      </c>
      <c r="H19" s="11">
        <v>5.0199999999999996</v>
      </c>
      <c r="I19" s="11">
        <v>5.21</v>
      </c>
      <c r="J19" s="11">
        <f t="shared" si="8"/>
        <v>5.003333333333333</v>
      </c>
      <c r="K19" s="11">
        <f t="shared" si="8"/>
        <v>5.2233333333333336</v>
      </c>
      <c r="L19" s="11">
        <f t="shared" si="9"/>
        <v>0.12165525060596466</v>
      </c>
      <c r="M19" s="11">
        <f t="shared" si="0"/>
        <v>1.1547005383792781E-2</v>
      </c>
      <c r="N19" s="67">
        <f t="shared" si="1"/>
        <v>103.10198386691268</v>
      </c>
      <c r="O19" s="68"/>
      <c r="P19" s="11">
        <f t="shared" si="2"/>
        <v>101.87092643826048</v>
      </c>
      <c r="Q19" s="11">
        <f t="shared" si="3"/>
        <v>45.830281083800124</v>
      </c>
      <c r="R19" s="11">
        <f t="shared" si="10"/>
        <v>83.601063796324425</v>
      </c>
      <c r="S19" s="11">
        <f t="shared" si="4"/>
        <v>1.0766039200883111E-3</v>
      </c>
      <c r="T19" s="11">
        <f t="shared" si="5"/>
        <v>1.0896141213290354E-3</v>
      </c>
      <c r="U19" s="11">
        <f t="shared" si="6"/>
        <v>2.4219794724155809E-3</v>
      </c>
      <c r="V19" s="11">
        <f t="shared" si="11"/>
        <v>1.5293991712776423E-3</v>
      </c>
      <c r="W19" s="23">
        <f t="shared" si="7"/>
        <v>1.3277343009704644E-3</v>
      </c>
      <c r="X19" s="11">
        <f t="shared" si="12"/>
        <v>1327.7343009704643</v>
      </c>
      <c r="Y19" s="25">
        <f t="shared" si="13"/>
        <v>121.42491225573569</v>
      </c>
    </row>
    <row r="20" spans="1:25" x14ac:dyDescent="0.25">
      <c r="A20" s="12" t="s">
        <v>80</v>
      </c>
      <c r="B20" s="12" t="s">
        <v>81</v>
      </c>
      <c r="C20" s="10">
        <v>0.1137</v>
      </c>
      <c r="D20" s="11">
        <v>5.05</v>
      </c>
      <c r="E20" s="11">
        <v>5.2</v>
      </c>
      <c r="F20" s="11">
        <v>5.05</v>
      </c>
      <c r="G20" s="11">
        <v>5.18</v>
      </c>
      <c r="H20" s="11">
        <v>5.0599999999999996</v>
      </c>
      <c r="I20" s="11">
        <v>5.18</v>
      </c>
      <c r="J20" s="11">
        <f t="shared" ref="J20:J31" si="14">AVERAGE(D20,F20,H20)</f>
        <v>5.0533333333333337</v>
      </c>
      <c r="K20" s="11">
        <f t="shared" ref="K20:K31" si="15">AVERAGE(E20,G20,I20)</f>
        <v>5.1866666666666665</v>
      </c>
      <c r="L20" s="11">
        <f t="shared" ref="L20:L31" si="16">_xlfn.STDEV.S(D20,G20,I20)</f>
        <v>7.5055534994651285E-2</v>
      </c>
      <c r="M20" s="11">
        <f t="shared" si="0"/>
        <v>1.1547005383792781E-2</v>
      </c>
      <c r="N20" s="67">
        <f t="shared" si="1"/>
        <v>104.1540066426258</v>
      </c>
      <c r="O20" s="68"/>
      <c r="P20" s="11">
        <f t="shared" si="2"/>
        <v>103.75341430938492</v>
      </c>
      <c r="Q20" s="11">
        <f t="shared" si="3"/>
        <v>46.295433669671041</v>
      </c>
      <c r="R20" s="11">
        <f t="shared" ref="R20:R31" si="17">AVERAGE(N20:Q20)</f>
        <v>84.734284873893927</v>
      </c>
      <c r="S20" s="11">
        <f t="shared" si="4"/>
        <v>1.0916526753514965E-3</v>
      </c>
      <c r="T20" s="11">
        <f t="shared" si="5"/>
        <v>1.0958675505459039E-3</v>
      </c>
      <c r="U20" s="11">
        <f t="shared" si="6"/>
        <v>2.4559657613594595E-3</v>
      </c>
      <c r="V20" s="11">
        <f t="shared" ref="V20:V31" si="18">AVERAGE(S20:U20)</f>
        <v>1.5478286624189535E-3</v>
      </c>
      <c r="W20" s="23">
        <f t="shared" si="7"/>
        <v>1.3418417370160661E-3</v>
      </c>
      <c r="X20" s="11">
        <f t="shared" ref="X20:X31" si="19">W20*10^6</f>
        <v>1341.8417370160662</v>
      </c>
      <c r="Y20" s="25">
        <f t="shared" si="13"/>
        <v>122.45313807796312</v>
      </c>
    </row>
    <row r="21" spans="1:25" x14ac:dyDescent="0.25">
      <c r="A21" s="12" t="s">
        <v>80</v>
      </c>
      <c r="B21" s="12" t="s">
        <v>82</v>
      </c>
      <c r="C21" s="10">
        <v>8.5000000000000006E-3</v>
      </c>
      <c r="D21" s="11">
        <v>2.98</v>
      </c>
      <c r="E21" s="11">
        <v>1.1000000000000001</v>
      </c>
      <c r="F21" s="11">
        <v>3.11</v>
      </c>
      <c r="G21" s="11">
        <v>1.08</v>
      </c>
      <c r="H21" s="11">
        <v>3.1</v>
      </c>
      <c r="I21" s="11">
        <v>1.0900000000000001</v>
      </c>
      <c r="J21" s="11">
        <f t="shared" si="14"/>
        <v>3.063333333333333</v>
      </c>
      <c r="K21" s="11">
        <f t="shared" si="15"/>
        <v>1.0900000000000001</v>
      </c>
      <c r="L21" s="11">
        <f t="shared" si="16"/>
        <v>1.0940901851919396</v>
      </c>
      <c r="M21" s="11">
        <f t="shared" si="0"/>
        <v>1.0000000000000009E-2</v>
      </c>
      <c r="N21" s="67">
        <f t="shared" si="1"/>
        <v>7.6721148352581707</v>
      </c>
      <c r="O21" s="68"/>
      <c r="P21" s="11">
        <f t="shared" si="2"/>
        <v>8.2041655422921753</v>
      </c>
      <c r="Q21" s="11">
        <f t="shared" si="3"/>
        <v>3.6564298763430814</v>
      </c>
      <c r="R21" s="11">
        <f t="shared" si="17"/>
        <v>6.5109034179644754</v>
      </c>
      <c r="S21" s="11">
        <f t="shared" si="4"/>
        <v>1.1079083385114596E-3</v>
      </c>
      <c r="T21" s="11">
        <f t="shared" si="5"/>
        <v>1.0360590551449515E-3</v>
      </c>
      <c r="U21" s="11">
        <f t="shared" si="6"/>
        <v>2.3246719580196453E-3</v>
      </c>
      <c r="V21" s="11">
        <f t="shared" si="18"/>
        <v>1.4895464505586854E-3</v>
      </c>
      <c r="W21" s="23">
        <f t="shared" si="7"/>
        <v>1.3055023941143612E-3</v>
      </c>
      <c r="X21" s="11">
        <f t="shared" si="19"/>
        <v>1305.5023941143611</v>
      </c>
      <c r="Y21" s="25">
        <f t="shared" si="13"/>
        <v>25.230252774027264</v>
      </c>
    </row>
    <row r="22" spans="1:25" x14ac:dyDescent="0.25">
      <c r="A22" s="12" t="s">
        <v>80</v>
      </c>
      <c r="B22" s="12" t="s">
        <v>83</v>
      </c>
      <c r="C22" s="10">
        <v>0.1134</v>
      </c>
      <c r="D22" s="11">
        <v>5.07</v>
      </c>
      <c r="E22" s="11">
        <v>5.21</v>
      </c>
      <c r="F22" s="11">
        <v>5.04</v>
      </c>
      <c r="G22" s="11">
        <v>5.21</v>
      </c>
      <c r="H22" s="11">
        <v>5.05</v>
      </c>
      <c r="I22" s="11">
        <v>5.19</v>
      </c>
      <c r="J22" s="11">
        <f t="shared" si="14"/>
        <v>5.0533333333333337</v>
      </c>
      <c r="K22" s="11">
        <f t="shared" si="15"/>
        <v>5.2033333333333331</v>
      </c>
      <c r="L22" s="11">
        <f t="shared" si="16"/>
        <v>7.5718777944003557E-2</v>
      </c>
      <c r="M22" s="11">
        <f t="shared" si="0"/>
        <v>1.154700538379227E-2</v>
      </c>
      <c r="N22" s="67">
        <f t="shared" si="1"/>
        <v>105.18250831414151</v>
      </c>
      <c r="O22" s="68"/>
      <c r="P22" s="11">
        <f t="shared" si="2"/>
        <v>103.941427634128</v>
      </c>
      <c r="Q22" s="11">
        <f t="shared" si="3"/>
        <v>46.201649100446843</v>
      </c>
      <c r="R22" s="11">
        <f t="shared" si="17"/>
        <v>85.108528349572126</v>
      </c>
      <c r="S22" s="11">
        <f t="shared" si="4"/>
        <v>1.0781260289145782E-3</v>
      </c>
      <c r="T22" s="11">
        <f t="shared" si="5"/>
        <v>1.0909990615018874E-3</v>
      </c>
      <c r="U22" s="11">
        <f t="shared" si="6"/>
        <v>2.454457843127146E-3</v>
      </c>
      <c r="V22" s="11">
        <f t="shared" si="18"/>
        <v>1.5411943111812039E-3</v>
      </c>
      <c r="W22" s="23">
        <f t="shared" si="7"/>
        <v>1.3324164123038806E-3</v>
      </c>
      <c r="X22" s="11">
        <f t="shared" si="19"/>
        <v>1332.4164123038806</v>
      </c>
      <c r="Y22" s="25">
        <f t="shared" si="13"/>
        <v>122.71772999256547</v>
      </c>
    </row>
    <row r="23" spans="1:25" x14ac:dyDescent="0.25">
      <c r="A23" s="12" t="s">
        <v>80</v>
      </c>
      <c r="B23" s="12" t="s">
        <v>84</v>
      </c>
      <c r="C23" s="10">
        <v>8.2500000000000004E-2</v>
      </c>
      <c r="D23" s="11">
        <v>4.97</v>
      </c>
      <c r="E23" s="11">
        <v>3.84</v>
      </c>
      <c r="F23" s="11">
        <v>4.99</v>
      </c>
      <c r="G23" s="11">
        <v>3.88</v>
      </c>
      <c r="H23" s="11">
        <v>4.88</v>
      </c>
      <c r="I23" s="11">
        <v>3.87</v>
      </c>
      <c r="J23" s="11">
        <f t="shared" si="14"/>
        <v>4.9466666666666663</v>
      </c>
      <c r="K23" s="11">
        <f t="shared" si="15"/>
        <v>3.8633333333333333</v>
      </c>
      <c r="L23" s="11">
        <f t="shared" si="16"/>
        <v>0.63221831672295481</v>
      </c>
      <c r="M23" s="11">
        <f t="shared" si="0"/>
        <v>2.0816659994661379E-2</v>
      </c>
      <c r="N23" s="67">
        <f t="shared" si="1"/>
        <v>74.496159337973864</v>
      </c>
      <c r="O23" s="68"/>
      <c r="P23" s="11">
        <f t="shared" si="2"/>
        <v>75.879192096641674</v>
      </c>
      <c r="Q23" s="11">
        <f t="shared" si="3"/>
        <v>32.170511958548978</v>
      </c>
      <c r="R23" s="11">
        <f t="shared" si="17"/>
        <v>60.848621131054841</v>
      </c>
      <c r="S23" s="11">
        <f t="shared" si="4"/>
        <v>1.1074396416292328E-3</v>
      </c>
      <c r="T23" s="11">
        <f t="shared" si="5"/>
        <v>1.0872545914158642E-3</v>
      </c>
      <c r="U23" s="11">
        <f t="shared" si="6"/>
        <v>2.5644602767372648E-3</v>
      </c>
      <c r="V23" s="11">
        <f t="shared" si="18"/>
        <v>1.5863848365941207E-3</v>
      </c>
      <c r="W23" s="23">
        <f t="shared" si="7"/>
        <v>1.35582365658398E-3</v>
      </c>
      <c r="X23" s="11">
        <f t="shared" si="19"/>
        <v>1355.82365658398</v>
      </c>
      <c r="Y23" s="25">
        <f t="shared" si="13"/>
        <v>98.474408550663412</v>
      </c>
    </row>
    <row r="24" spans="1:25" x14ac:dyDescent="0.25">
      <c r="A24" s="12" t="s">
        <v>80</v>
      </c>
      <c r="B24" s="12" t="s">
        <v>85</v>
      </c>
      <c r="C24" s="10">
        <v>2.4500000000000001E-2</v>
      </c>
      <c r="D24" s="11">
        <v>3.09</v>
      </c>
      <c r="E24" s="11">
        <v>3.12</v>
      </c>
      <c r="F24" s="11">
        <v>3.1</v>
      </c>
      <c r="G24" s="11">
        <v>3.12</v>
      </c>
      <c r="H24" s="11">
        <v>3.05</v>
      </c>
      <c r="I24" s="11">
        <v>3.14</v>
      </c>
      <c r="J24" s="11">
        <f t="shared" si="14"/>
        <v>3.0799999999999996</v>
      </c>
      <c r="K24" s="11">
        <f t="shared" si="15"/>
        <v>3.1266666666666669</v>
      </c>
      <c r="L24" s="11">
        <f t="shared" si="16"/>
        <v>2.5166114784235971E-2</v>
      </c>
      <c r="M24" s="11">
        <f t="shared" si="0"/>
        <v>1.1547005383792526E-2</v>
      </c>
      <c r="N24" s="67">
        <f t="shared" si="1"/>
        <v>23.397067836277749</v>
      </c>
      <c r="O24" s="68"/>
      <c r="P24" s="11">
        <f t="shared" si="2"/>
        <v>23.548750212778376</v>
      </c>
      <c r="Q24" s="11">
        <f t="shared" si="3"/>
        <v>10.196161130273312</v>
      </c>
      <c r="R24" s="11">
        <f t="shared" si="17"/>
        <v>19.047326393109813</v>
      </c>
      <c r="S24" s="11">
        <f t="shared" si="4"/>
        <v>1.0471397600519893E-3</v>
      </c>
      <c r="T24" s="11">
        <f t="shared" si="5"/>
        <v>1.0403949160200205E-3</v>
      </c>
      <c r="U24" s="11">
        <f t="shared" si="6"/>
        <v>2.4028651260970479E-3</v>
      </c>
      <c r="V24" s="11">
        <f t="shared" si="18"/>
        <v>1.4967999340563525E-3</v>
      </c>
      <c r="W24" s="23">
        <f t="shared" si="7"/>
        <v>1.2862697627139229E-3</v>
      </c>
      <c r="X24" s="11">
        <f t="shared" si="19"/>
        <v>1286.2697627139228</v>
      </c>
      <c r="Y24" s="25">
        <f t="shared" si="13"/>
        <v>45.155158407597291</v>
      </c>
    </row>
    <row r="25" spans="1:25" x14ac:dyDescent="0.25">
      <c r="A25" s="12" t="s">
        <v>80</v>
      </c>
      <c r="B25" s="12" t="s">
        <v>86</v>
      </c>
      <c r="C25" s="10">
        <v>0.11509999999999999</v>
      </c>
      <c r="D25" s="11">
        <v>5.08</v>
      </c>
      <c r="E25" s="11">
        <v>5.22</v>
      </c>
      <c r="F25" s="11">
        <v>5.12</v>
      </c>
      <c r="G25" s="11">
        <v>5.23</v>
      </c>
      <c r="H25" s="11">
        <v>5.04</v>
      </c>
      <c r="I25" s="11">
        <v>5.24</v>
      </c>
      <c r="J25" s="11">
        <f t="shared" si="14"/>
        <v>5.0799999999999992</v>
      </c>
      <c r="K25" s="11">
        <f t="shared" si="15"/>
        <v>5.2299999999999995</v>
      </c>
      <c r="L25" s="11">
        <f t="shared" si="16"/>
        <v>8.9628864398325153E-2</v>
      </c>
      <c r="M25" s="11">
        <f t="shared" si="0"/>
        <v>1.0000000000000231E-2</v>
      </c>
      <c r="N25" s="67">
        <f t="shared" si="1"/>
        <v>105.80052163555752</v>
      </c>
      <c r="O25" s="68"/>
      <c r="P25" s="11">
        <f t="shared" si="2"/>
        <v>107.67911864418055</v>
      </c>
      <c r="Q25" s="11">
        <f t="shared" si="3"/>
        <v>46.462194992777199</v>
      </c>
      <c r="R25" s="11">
        <f t="shared" si="17"/>
        <v>86.647278424171759</v>
      </c>
      <c r="S25" s="11">
        <f t="shared" si="4"/>
        <v>1.087896337566989E-3</v>
      </c>
      <c r="T25" s="11">
        <f t="shared" si="5"/>
        <v>1.0689166242188639E-3</v>
      </c>
      <c r="U25" s="11">
        <f t="shared" si="6"/>
        <v>2.4772828752040862E-3</v>
      </c>
      <c r="V25" s="11">
        <f t="shared" si="18"/>
        <v>1.5446986123299796E-3</v>
      </c>
      <c r="W25" s="23">
        <f t="shared" si="7"/>
        <v>1.3283740942968943E-3</v>
      </c>
      <c r="X25" s="11">
        <f t="shared" si="19"/>
        <v>1328.3740942968943</v>
      </c>
      <c r="Y25" s="25">
        <f t="shared" si="13"/>
        <v>124.00368858543484</v>
      </c>
    </row>
    <row r="26" spans="1:25" x14ac:dyDescent="0.25">
      <c r="A26" s="12" t="s">
        <v>80</v>
      </c>
      <c r="B26" s="12" t="s">
        <v>87</v>
      </c>
      <c r="C26" s="10">
        <v>0.11700000000000001</v>
      </c>
      <c r="D26" s="11">
        <v>5.09</v>
      </c>
      <c r="E26" s="11">
        <v>5.13</v>
      </c>
      <c r="F26" s="11">
        <v>5.09</v>
      </c>
      <c r="G26" s="11">
        <v>5.0999999999999996</v>
      </c>
      <c r="H26" s="11">
        <v>5.0599999999999996</v>
      </c>
      <c r="I26" s="11">
        <v>5.0999999999999996</v>
      </c>
      <c r="J26" s="11">
        <f t="shared" si="14"/>
        <v>5.0799999999999992</v>
      </c>
      <c r="K26" s="11">
        <f t="shared" si="15"/>
        <v>5.1100000000000003</v>
      </c>
      <c r="L26" s="11">
        <f t="shared" si="16"/>
        <v>5.7735026918961348E-3</v>
      </c>
      <c r="M26" s="11">
        <f t="shared" si="0"/>
        <v>1.7320508075688915E-2</v>
      </c>
      <c r="N26" s="67">
        <f t="shared" si="1"/>
        <v>104.38613342601239</v>
      </c>
      <c r="O26" s="68"/>
      <c r="P26" s="11">
        <f t="shared" si="2"/>
        <v>103.77568820129886</v>
      </c>
      <c r="Q26" s="11">
        <f t="shared" si="3"/>
        <v>45.580446277089244</v>
      </c>
      <c r="R26" s="11">
        <f t="shared" si="17"/>
        <v>84.580755968133502</v>
      </c>
      <c r="S26" s="11">
        <f t="shared" si="4"/>
        <v>1.120838526727577E-3</v>
      </c>
      <c r="T26" s="11">
        <f t="shared" si="5"/>
        <v>1.1274316945318569E-3</v>
      </c>
      <c r="U26" s="11">
        <f t="shared" si="6"/>
        <v>2.5668901811259667E-3</v>
      </c>
      <c r="V26" s="11">
        <f t="shared" si="18"/>
        <v>1.6050534674617999E-3</v>
      </c>
      <c r="W26" s="23">
        <f t="shared" si="7"/>
        <v>1.3832933822923116E-3</v>
      </c>
      <c r="X26" s="11">
        <f t="shared" si="19"/>
        <v>1383.2933822923117</v>
      </c>
      <c r="Y26" s="25">
        <f t="shared" si="13"/>
        <v>122.08857370380652</v>
      </c>
    </row>
    <row r="27" spans="1:25" x14ac:dyDescent="0.25">
      <c r="A27" s="12" t="s">
        <v>80</v>
      </c>
      <c r="B27" s="12" t="s">
        <v>88</v>
      </c>
      <c r="C27" s="10">
        <v>8.3000000000000001E-3</v>
      </c>
      <c r="D27" s="11">
        <v>3.18</v>
      </c>
      <c r="E27" s="11">
        <v>1.0900000000000001</v>
      </c>
      <c r="F27" s="11">
        <v>3.22</v>
      </c>
      <c r="G27" s="11">
        <v>1.0900000000000001</v>
      </c>
      <c r="H27" s="11">
        <v>3.21</v>
      </c>
      <c r="I27" s="11">
        <v>1.1100000000000001</v>
      </c>
      <c r="J27" s="11">
        <f t="shared" si="14"/>
        <v>3.2033333333333331</v>
      </c>
      <c r="K27" s="11">
        <f t="shared" si="15"/>
        <v>1.0966666666666667</v>
      </c>
      <c r="L27" s="11">
        <f t="shared" si="16"/>
        <v>1.2009301950293918</v>
      </c>
      <c r="M27" s="11">
        <f t="shared" si="0"/>
        <v>1.1547005383792525E-2</v>
      </c>
      <c r="N27" s="67">
        <f t="shared" si="1"/>
        <v>8.6570638224189889</v>
      </c>
      <c r="O27" s="68"/>
      <c r="P27" s="11">
        <f t="shared" si="2"/>
        <v>8.8762213259334128</v>
      </c>
      <c r="Q27" s="11">
        <f t="shared" si="3"/>
        <v>3.9924584662953997</v>
      </c>
      <c r="R27" s="11">
        <f t="shared" si="17"/>
        <v>7.1752478715492671</v>
      </c>
      <c r="S27" s="11">
        <f t="shared" si="4"/>
        <v>9.5875462746453262E-4</v>
      </c>
      <c r="T27" s="11">
        <f t="shared" si="5"/>
        <v>9.3508258697314332E-4</v>
      </c>
      <c r="U27" s="11">
        <f t="shared" si="6"/>
        <v>2.078919560483635E-3</v>
      </c>
      <c r="V27" s="11">
        <f t="shared" si="18"/>
        <v>1.3242522583071037E-3</v>
      </c>
      <c r="W27" s="23">
        <f t="shared" si="7"/>
        <v>1.1567544632026599E-3</v>
      </c>
      <c r="X27" s="11">
        <f t="shared" si="19"/>
        <v>1156.75446320266</v>
      </c>
      <c r="Y27" s="25">
        <f t="shared" si="13"/>
        <v>27.154862246786454</v>
      </c>
    </row>
    <row r="28" spans="1:25" x14ac:dyDescent="0.25">
      <c r="A28" s="12" t="s">
        <v>80</v>
      </c>
      <c r="B28" s="12" t="s">
        <v>89</v>
      </c>
      <c r="C28" s="10">
        <v>2.5600000000000001E-2</v>
      </c>
      <c r="D28" s="11">
        <v>3.05</v>
      </c>
      <c r="E28" s="11">
        <v>3.16</v>
      </c>
      <c r="F28" s="11">
        <v>3.01</v>
      </c>
      <c r="G28" s="11">
        <v>3.15</v>
      </c>
      <c r="H28" s="11">
        <v>3.05</v>
      </c>
      <c r="I28" s="11">
        <v>3.15</v>
      </c>
      <c r="J28" s="11">
        <f t="shared" si="14"/>
        <v>3.0366666666666666</v>
      </c>
      <c r="K28" s="11">
        <f t="shared" si="15"/>
        <v>3.1533333333333338</v>
      </c>
      <c r="L28" s="11">
        <f t="shared" si="16"/>
        <v>5.773502691896263E-2</v>
      </c>
      <c r="M28" s="11">
        <f t="shared" si="0"/>
        <v>5.7735026918963907E-3</v>
      </c>
      <c r="N28" s="67">
        <f t="shared" si="1"/>
        <v>23.087485871415048</v>
      </c>
      <c r="O28" s="68"/>
      <c r="P28" s="11">
        <f t="shared" si="2"/>
        <v>22.414725585621241</v>
      </c>
      <c r="Q28" s="11">
        <f t="shared" si="3"/>
        <v>10.228632981006665</v>
      </c>
      <c r="R28" s="11">
        <f t="shared" si="17"/>
        <v>18.576948146014317</v>
      </c>
      <c r="S28" s="11">
        <f t="shared" si="4"/>
        <v>1.1088258003742076E-3</v>
      </c>
      <c r="T28" s="11">
        <f t="shared" si="5"/>
        <v>1.1421063310461438E-3</v>
      </c>
      <c r="U28" s="11">
        <f t="shared" si="6"/>
        <v>2.5027782351303546E-3</v>
      </c>
      <c r="V28" s="11">
        <f t="shared" si="18"/>
        <v>1.5845701221835686E-3</v>
      </c>
      <c r="W28" s="23">
        <f t="shared" si="7"/>
        <v>1.3780519705812108E-3</v>
      </c>
      <c r="X28" s="11">
        <f t="shared" si="19"/>
        <v>1378.0519705812108</v>
      </c>
      <c r="Y28" s="25">
        <f t="shared" si="13"/>
        <v>44.567558408328367</v>
      </c>
    </row>
    <row r="29" spans="1:25" x14ac:dyDescent="0.25">
      <c r="A29" s="12" t="s">
        <v>80</v>
      </c>
      <c r="B29" s="12" t="s">
        <v>90</v>
      </c>
      <c r="C29" s="10">
        <v>6.7100000000000007E-2</v>
      </c>
      <c r="D29" s="11">
        <v>4.87</v>
      </c>
      <c r="E29" s="11">
        <v>3.18</v>
      </c>
      <c r="F29" s="11">
        <v>4.92</v>
      </c>
      <c r="G29" s="11">
        <v>3.16</v>
      </c>
      <c r="H29" s="11">
        <v>4.92</v>
      </c>
      <c r="I29" s="11">
        <v>3.1</v>
      </c>
      <c r="J29" s="11">
        <f t="shared" si="14"/>
        <v>4.9033333333333333</v>
      </c>
      <c r="K29" s="11">
        <f t="shared" si="15"/>
        <v>3.1466666666666665</v>
      </c>
      <c r="L29" s="11">
        <f t="shared" si="16"/>
        <v>1.0050373127401777</v>
      </c>
      <c r="M29" s="11">
        <f t="shared" si="0"/>
        <v>4.1633319989322695E-2</v>
      </c>
      <c r="N29" s="67">
        <f t="shared" si="1"/>
        <v>59.2345268507094</v>
      </c>
      <c r="O29" s="68"/>
      <c r="P29" s="11">
        <f t="shared" si="2"/>
        <v>60.076852243786213</v>
      </c>
      <c r="Q29" s="11">
        <f t="shared" si="3"/>
        <v>26.193845563394827</v>
      </c>
      <c r="R29" s="11">
        <f t="shared" si="17"/>
        <v>48.501741552630143</v>
      </c>
      <c r="S29" s="11">
        <f t="shared" si="4"/>
        <v>1.1327852785777152E-3</v>
      </c>
      <c r="T29" s="11">
        <f t="shared" si="5"/>
        <v>1.1169027253244647E-3</v>
      </c>
      <c r="U29" s="11">
        <f t="shared" si="6"/>
        <v>2.5616704442119179E-3</v>
      </c>
      <c r="V29" s="11">
        <f t="shared" si="18"/>
        <v>1.603786149371366E-3</v>
      </c>
      <c r="W29" s="23">
        <f t="shared" si="7"/>
        <v>1.383455477102581E-3</v>
      </c>
      <c r="X29" s="11">
        <f t="shared" si="19"/>
        <v>1383.455477102581</v>
      </c>
      <c r="Y29" s="25">
        <f t="shared" si="13"/>
        <v>86.238271684074078</v>
      </c>
    </row>
    <row r="30" spans="1:25" x14ac:dyDescent="0.25">
      <c r="A30" s="12" t="s">
        <v>80</v>
      </c>
      <c r="B30" s="12" t="s">
        <v>91</v>
      </c>
      <c r="C30" s="10">
        <v>2.5499999999999998E-2</v>
      </c>
      <c r="D30" s="11">
        <v>3.05</v>
      </c>
      <c r="E30" s="11">
        <v>3.16</v>
      </c>
      <c r="F30" s="11">
        <v>3</v>
      </c>
      <c r="G30" s="11">
        <v>3.16</v>
      </c>
      <c r="H30" s="11">
        <v>3.01</v>
      </c>
      <c r="I30" s="11">
        <v>3.17</v>
      </c>
      <c r="J30" s="11">
        <f t="shared" si="14"/>
        <v>3.0199999999999996</v>
      </c>
      <c r="K30" s="11">
        <f t="shared" si="15"/>
        <v>3.1633333333333336</v>
      </c>
      <c r="L30" s="11">
        <f t="shared" si="16"/>
        <v>6.6583281184794049E-2</v>
      </c>
      <c r="M30" s="11">
        <f t="shared" si="0"/>
        <v>5.7735026918961348E-3</v>
      </c>
      <c r="N30" s="67">
        <f t="shared" si="1"/>
        <v>23.087485871415048</v>
      </c>
      <c r="O30" s="68"/>
      <c r="P30" s="11">
        <f t="shared" si="2"/>
        <v>22.336723767023429</v>
      </c>
      <c r="Q30" s="11">
        <f t="shared" si="3"/>
        <v>10.025351690500083</v>
      </c>
      <c r="R30" s="11">
        <f t="shared" si="17"/>
        <v>18.483187109646185</v>
      </c>
      <c r="S30" s="11">
        <f t="shared" si="4"/>
        <v>1.1044944495914957E-3</v>
      </c>
      <c r="T30" s="11">
        <f t="shared" si="5"/>
        <v>1.141617735258321E-3</v>
      </c>
      <c r="U30" s="11">
        <f t="shared" si="6"/>
        <v>2.5435516665378959E-3</v>
      </c>
      <c r="V30" s="11">
        <f t="shared" si="18"/>
        <v>1.5965546171292375E-3</v>
      </c>
      <c r="W30" s="23">
        <f t="shared" si="7"/>
        <v>1.3796321948551726E-3</v>
      </c>
      <c r="X30" s="11">
        <f t="shared" si="19"/>
        <v>1379.6321948551727</v>
      </c>
      <c r="Y30" s="25">
        <f t="shared" si="13"/>
        <v>44.338763196684418</v>
      </c>
    </row>
    <row r="31" spans="1:25" x14ac:dyDescent="0.25">
      <c r="A31" s="12" t="s">
        <v>80</v>
      </c>
      <c r="B31" s="12" t="s">
        <v>92</v>
      </c>
      <c r="C31" s="10">
        <v>8.8999999999999999E-3</v>
      </c>
      <c r="D31" s="11">
        <v>3.12</v>
      </c>
      <c r="E31" s="11">
        <v>1.1299999999999999</v>
      </c>
      <c r="F31" s="11">
        <v>3.11</v>
      </c>
      <c r="G31" s="11">
        <v>1.1299999999999999</v>
      </c>
      <c r="H31" s="11">
        <v>3.07</v>
      </c>
      <c r="I31" s="11">
        <v>1.1200000000000001</v>
      </c>
      <c r="J31" s="11">
        <f t="shared" si="14"/>
        <v>3.1</v>
      </c>
      <c r="K31" s="11">
        <f t="shared" si="15"/>
        <v>1.1266666666666667</v>
      </c>
      <c r="L31" s="11">
        <f t="shared" si="16"/>
        <v>1.1518246394308469</v>
      </c>
      <c r="M31" s="11">
        <f t="shared" si="0"/>
        <v>5.7735026918961348E-3</v>
      </c>
      <c r="N31" s="67">
        <f t="shared" si="1"/>
        <v>8.6392792664070157</v>
      </c>
      <c r="O31" s="68"/>
      <c r="P31" s="11">
        <f t="shared" si="2"/>
        <v>8.5839880211019963</v>
      </c>
      <c r="Q31" s="11">
        <f t="shared" si="3"/>
        <v>3.6847000214351833</v>
      </c>
      <c r="R31" s="11">
        <f t="shared" si="17"/>
        <v>6.969322436314731</v>
      </c>
      <c r="S31" s="11">
        <f t="shared" si="4"/>
        <v>1.0301785282722333E-3</v>
      </c>
      <c r="T31" s="11">
        <f t="shared" si="5"/>
        <v>1.0368141216088784E-3</v>
      </c>
      <c r="U31" s="11">
        <f t="shared" si="6"/>
        <v>2.4153933693992998E-3</v>
      </c>
      <c r="V31" s="11">
        <f t="shared" si="18"/>
        <v>1.4941286730934707E-3</v>
      </c>
      <c r="W31" s="23">
        <f t="shared" si="7"/>
        <v>1.2770251457480536E-3</v>
      </c>
      <c r="X31" s="11">
        <f t="shared" si="19"/>
        <v>1277.0251457480535</v>
      </c>
      <c r="Y31" s="25">
        <f t="shared" si="13"/>
        <v>26.067888641936907</v>
      </c>
    </row>
  </sheetData>
  <mergeCells count="35">
    <mergeCell ref="N30:O30"/>
    <mergeCell ref="N31:O31"/>
    <mergeCell ref="N27:O27"/>
    <mergeCell ref="N28:O28"/>
    <mergeCell ref="N29:O29"/>
    <mergeCell ref="N24:O24"/>
    <mergeCell ref="N25:O25"/>
    <mergeCell ref="N26:O26"/>
    <mergeCell ref="N21:O21"/>
    <mergeCell ref="N22:O22"/>
    <mergeCell ref="N23:O23"/>
    <mergeCell ref="N18:O18"/>
    <mergeCell ref="N19:O19"/>
    <mergeCell ref="N20:O20"/>
    <mergeCell ref="N15:O15"/>
    <mergeCell ref="N16:O16"/>
    <mergeCell ref="N17:O17"/>
    <mergeCell ref="N12:O12"/>
    <mergeCell ref="N13:O13"/>
    <mergeCell ref="N14:O14"/>
    <mergeCell ref="N9:O9"/>
    <mergeCell ref="N10:O10"/>
    <mergeCell ref="N11:O11"/>
    <mergeCell ref="N6:O6"/>
    <mergeCell ref="N7:O7"/>
    <mergeCell ref="N8:O8"/>
    <mergeCell ref="N3:O3"/>
    <mergeCell ref="N5:O5"/>
    <mergeCell ref="W1:X1"/>
    <mergeCell ref="N4:O4"/>
    <mergeCell ref="D1:E1"/>
    <mergeCell ref="F1:G1"/>
    <mergeCell ref="H1:I1"/>
    <mergeCell ref="J1:K1"/>
    <mergeCell ref="N2:O2"/>
  </mergeCells>
  <phoneticPr fontId="2" type="noConversion"/>
  <conditionalFormatting sqref="X3:X31">
    <cfRule type="cellIs" dxfId="4" priority="1" operator="lessThan">
      <formula>1000</formula>
    </cfRule>
  </conditionalFormatting>
  <pageMargins left="0.7" right="0.7" top="0.75" bottom="0.75" header="0.3" footer="0.3"/>
  <pageSetup paperSize="9" scale="87" orientation="landscape" r:id="rId1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  <pageSetUpPr fitToPage="1"/>
  </sheetPr>
  <dimension ref="A1:AD31"/>
  <sheetViews>
    <sheetView topLeftCell="B1" zoomScaleNormal="100" workbookViewId="0">
      <selection activeCell="AD3" sqref="AD3"/>
    </sheetView>
  </sheetViews>
  <sheetFormatPr defaultColWidth="8.7109375" defaultRowHeight="14.25" x14ac:dyDescent="0.25"/>
  <cols>
    <col min="1" max="1" width="13.42578125" style="4" customWidth="1"/>
    <col min="2" max="2" width="24.7109375" style="4" customWidth="1"/>
    <col min="3" max="3" width="25.42578125" style="4" customWidth="1"/>
    <col min="4" max="6" width="12" style="4" hidden="1" customWidth="1"/>
    <col min="7" max="12" width="9.85546875" style="4" hidden="1" customWidth="1"/>
    <col min="13" max="13" width="14.7109375" style="4" customWidth="1"/>
    <col min="14" max="15" width="9.85546875" style="4" bestFit="1" customWidth="1"/>
    <col min="16" max="18" width="16" style="4" bestFit="1" customWidth="1"/>
    <col min="19" max="21" width="18.42578125" style="4" hidden="1" customWidth="1"/>
    <col min="22" max="22" width="25.28515625" style="4" bestFit="1" customWidth="1"/>
    <col min="23" max="25" width="21.42578125" style="4" hidden="1" customWidth="1"/>
    <col min="26" max="26" width="28.7109375" style="4" hidden="1" customWidth="1"/>
    <col min="27" max="27" width="25.28515625" style="4" hidden="1" customWidth="1"/>
    <col min="28" max="28" width="19.42578125" style="4" bestFit="1" customWidth="1"/>
    <col min="29" max="29" width="18" style="4" bestFit="1" customWidth="1"/>
    <col min="30" max="30" width="19.85546875" style="4" bestFit="1" customWidth="1"/>
    <col min="31" max="16384" width="8.7109375" style="4"/>
  </cols>
  <sheetData>
    <row r="1" spans="1:30" ht="15" x14ac:dyDescent="0.25">
      <c r="A1" s="8"/>
      <c r="B1" s="8"/>
      <c r="C1" s="8"/>
      <c r="D1" s="61" t="s">
        <v>0</v>
      </c>
      <c r="E1" s="61"/>
      <c r="F1" s="61"/>
      <c r="G1" s="61" t="s">
        <v>1</v>
      </c>
      <c r="H1" s="61"/>
      <c r="I1" s="61"/>
      <c r="J1" s="61" t="s">
        <v>2</v>
      </c>
      <c r="K1" s="61"/>
      <c r="L1" s="61"/>
      <c r="M1" s="61" t="s">
        <v>3</v>
      </c>
      <c r="N1" s="61"/>
      <c r="O1" s="61"/>
      <c r="P1" s="61" t="s">
        <v>4</v>
      </c>
      <c r="Q1" s="61"/>
      <c r="R1" s="61"/>
      <c r="S1" s="5"/>
      <c r="T1" s="5"/>
      <c r="U1" s="5"/>
      <c r="V1" s="5"/>
      <c r="W1" s="5"/>
      <c r="X1" s="5"/>
      <c r="Y1" s="5"/>
      <c r="Z1" s="5"/>
      <c r="AB1" s="5"/>
      <c r="AC1" s="9" t="s">
        <v>5</v>
      </c>
    </row>
    <row r="2" spans="1:30" ht="15" x14ac:dyDescent="0.25">
      <c r="A2" s="8" t="s">
        <v>6</v>
      </c>
      <c r="B2" s="8" t="s">
        <v>7</v>
      </c>
      <c r="C2" s="8" t="s">
        <v>8</v>
      </c>
      <c r="D2" s="8" t="s">
        <v>42</v>
      </c>
      <c r="E2" s="8" t="s">
        <v>43</v>
      </c>
      <c r="F2" s="8" t="s">
        <v>44</v>
      </c>
      <c r="G2" s="8" t="s">
        <v>42</v>
      </c>
      <c r="H2" s="8" t="s">
        <v>43</v>
      </c>
      <c r="I2" s="8" t="s">
        <v>44</v>
      </c>
      <c r="J2" s="8" t="s">
        <v>42</v>
      </c>
      <c r="K2" s="8" t="s">
        <v>43</v>
      </c>
      <c r="L2" s="8" t="s">
        <v>44</v>
      </c>
      <c r="M2" s="8" t="s">
        <v>42</v>
      </c>
      <c r="N2" s="8" t="s">
        <v>43</v>
      </c>
      <c r="O2" s="8" t="s">
        <v>44</v>
      </c>
      <c r="P2" s="8" t="s">
        <v>42</v>
      </c>
      <c r="Q2" s="8" t="s">
        <v>43</v>
      </c>
      <c r="R2" s="8" t="s">
        <v>44</v>
      </c>
      <c r="S2" s="8" t="s">
        <v>14</v>
      </c>
      <c r="T2" s="8" t="s">
        <v>15</v>
      </c>
      <c r="U2" s="8" t="s">
        <v>16</v>
      </c>
      <c r="V2" s="8" t="s">
        <v>17</v>
      </c>
      <c r="W2" s="8" t="s">
        <v>18</v>
      </c>
      <c r="X2" s="8" t="s">
        <v>19</v>
      </c>
      <c r="Y2" s="8" t="s">
        <v>20</v>
      </c>
      <c r="Z2" s="8" t="s">
        <v>21</v>
      </c>
      <c r="AA2" s="8" t="s">
        <v>17</v>
      </c>
      <c r="AB2" s="8" t="s">
        <v>22</v>
      </c>
      <c r="AC2" s="8" t="s">
        <v>23</v>
      </c>
      <c r="AD2" s="14" t="s">
        <v>154</v>
      </c>
    </row>
    <row r="3" spans="1:30" x14ac:dyDescent="0.25">
      <c r="A3" s="5" t="s">
        <v>80</v>
      </c>
      <c r="B3" s="5" t="s">
        <v>45</v>
      </c>
      <c r="C3" s="5">
        <v>0.14130000000000001</v>
      </c>
      <c r="D3" s="5">
        <v>5.21</v>
      </c>
      <c r="E3" s="5">
        <v>5.1100000000000003</v>
      </c>
      <c r="F3" s="5">
        <v>5.12</v>
      </c>
      <c r="G3" s="5">
        <v>5.2</v>
      </c>
      <c r="H3" s="5">
        <v>5.1100000000000003</v>
      </c>
      <c r="I3" s="5">
        <v>5.14</v>
      </c>
      <c r="J3" s="5">
        <v>5.19</v>
      </c>
      <c r="K3" s="5">
        <v>5.12</v>
      </c>
      <c r="L3" s="5">
        <v>5.13</v>
      </c>
      <c r="M3" s="5">
        <f>AVERAGE(D3,G3,J3)</f>
        <v>5.2</v>
      </c>
      <c r="N3" s="5">
        <f t="shared" ref="N3:O3" si="0">AVERAGE(E3,H3,K3)</f>
        <v>5.1133333333333333</v>
      </c>
      <c r="O3" s="5">
        <f t="shared" si="0"/>
        <v>5.13</v>
      </c>
      <c r="P3" s="5">
        <f>_xlfn.STDEV.S(D3,G3,J3)</f>
        <v>9.9999999999997868E-3</v>
      </c>
      <c r="Q3" s="5">
        <f t="shared" ref="Q3:R14" si="1">_xlfn.STDEV.S(E3,H3,K3)</f>
        <v>5.7735026918961348E-3</v>
      </c>
      <c r="R3" s="5">
        <f t="shared" si="1"/>
        <v>9.9999999999997868E-3</v>
      </c>
      <c r="S3" s="5">
        <f>D3*E3*F3</f>
        <v>136.310272</v>
      </c>
      <c r="T3" s="5">
        <f>G3*H3*I3</f>
        <v>136.58008000000001</v>
      </c>
      <c r="U3" s="5">
        <f>J3*K3*L3</f>
        <v>136.31846400000001</v>
      </c>
      <c r="V3" s="5">
        <f>AVERAGE(S3:U3)</f>
        <v>136.40293866666667</v>
      </c>
      <c r="W3" s="5">
        <f>C3/S3</f>
        <v>1.0366056638783613E-3</v>
      </c>
      <c r="X3" s="5">
        <f>C3/T3</f>
        <v>1.0345578945333755E-3</v>
      </c>
      <c r="Y3" s="5">
        <f>C3/U3</f>
        <v>1.036543369502755E-3</v>
      </c>
      <c r="Z3" s="5">
        <f>AVERAGE(W3:Y3)</f>
        <v>1.0359023093048307E-3</v>
      </c>
      <c r="AA3" s="5">
        <f>M3*N3*O3</f>
        <v>136.40328</v>
      </c>
      <c r="AB3" s="5">
        <f>C3/AA3</f>
        <v>1.0358988434882213E-3</v>
      </c>
      <c r="AC3" s="5">
        <f>AB3*10^6</f>
        <v>1035.8988434882212</v>
      </c>
      <c r="AD3" s="4">
        <f>6*M3*N3</f>
        <v>159.536</v>
      </c>
    </row>
    <row r="4" spans="1:30" x14ac:dyDescent="0.25">
      <c r="A4" s="5" t="s">
        <v>80</v>
      </c>
      <c r="B4" s="5" t="s">
        <v>46</v>
      </c>
      <c r="C4" s="5">
        <v>3.2199999999999999E-2</v>
      </c>
      <c r="D4" s="5">
        <v>3.22</v>
      </c>
      <c r="E4" s="5">
        <v>3.16</v>
      </c>
      <c r="F4" s="5">
        <v>3.18</v>
      </c>
      <c r="G4" s="5">
        <v>3.22</v>
      </c>
      <c r="H4" s="5">
        <v>3.18</v>
      </c>
      <c r="I4" s="5">
        <v>3.17</v>
      </c>
      <c r="J4" s="5">
        <v>3.25</v>
      </c>
      <c r="K4" s="5">
        <v>3.15</v>
      </c>
      <c r="L4" s="5">
        <v>3.17</v>
      </c>
      <c r="M4" s="5">
        <f t="shared" ref="M4:M30" si="2">AVERAGE(D4,G4,J4)</f>
        <v>3.2300000000000004</v>
      </c>
      <c r="N4" s="5">
        <f t="shared" ref="N4:N30" si="3">AVERAGE(E4,H4,K4)</f>
        <v>3.1633333333333336</v>
      </c>
      <c r="O4" s="5">
        <f t="shared" ref="O4:O30" si="4">AVERAGE(F4,I4,L4)</f>
        <v>3.1733333333333333</v>
      </c>
      <c r="P4" s="5">
        <f t="shared" ref="P4:P14" si="5">_xlfn.STDEV.S(D4,G4,J4)</f>
        <v>1.7320508075688659E-2</v>
      </c>
      <c r="Q4" s="5">
        <f t="shared" si="1"/>
        <v>1.5275252316519579E-2</v>
      </c>
      <c r="R4" s="5">
        <f t="shared" si="1"/>
        <v>5.7735026918963907E-3</v>
      </c>
      <c r="S4" s="5">
        <f t="shared" ref="S4:S30" si="6">D4*E4*F4</f>
        <v>32.357136000000004</v>
      </c>
      <c r="T4" s="5">
        <f t="shared" ref="T4:T30" si="7">G4*H4*I4</f>
        <v>32.459532000000003</v>
      </c>
      <c r="U4" s="5">
        <f t="shared" ref="U4:U30" si="8">J4*K4*L4</f>
        <v>32.452874999999999</v>
      </c>
      <c r="V4" s="5">
        <f t="shared" ref="V4:V30" si="9">AVERAGE(S4:U4)</f>
        <v>32.423181</v>
      </c>
      <c r="W4" s="5">
        <f t="shared" ref="W4:W14" si="10">C4/S4</f>
        <v>9.9514369875009943E-4</v>
      </c>
      <c r="X4" s="5">
        <f t="shared" ref="X4:X14" si="11">C4/T4</f>
        <v>9.9200444417990976E-4</v>
      </c>
      <c r="Y4" s="5">
        <f t="shared" ref="Y4:Y14" si="12">C4/U4</f>
        <v>9.9220793227102378E-4</v>
      </c>
      <c r="Z4" s="5">
        <f t="shared" ref="Z4:Z14" si="13">AVERAGE(W4:Y4)</f>
        <v>9.9311869173367758E-4</v>
      </c>
      <c r="AA4" s="5">
        <f t="shared" ref="AA4:AA14" si="14">M4*N4*O4</f>
        <v>32.423744888888891</v>
      </c>
      <c r="AB4" s="5">
        <f t="shared" ref="AB4:AB14" si="15">C4/AA4</f>
        <v>9.9309935081047453E-4</v>
      </c>
      <c r="AC4" s="5"/>
      <c r="AD4" s="4">
        <f t="shared" ref="AD4:AD30" si="16">6*M4*N4</f>
        <v>61.305400000000013</v>
      </c>
    </row>
    <row r="5" spans="1:30" x14ac:dyDescent="0.25">
      <c r="A5" s="5" t="s">
        <v>80</v>
      </c>
      <c r="B5" s="5" t="s">
        <v>47</v>
      </c>
      <c r="C5" s="5">
        <v>3.7999999999999999E-2</v>
      </c>
      <c r="D5" s="5">
        <v>3.11</v>
      </c>
      <c r="E5" s="5">
        <v>3.08</v>
      </c>
      <c r="F5" s="5">
        <v>3.79</v>
      </c>
      <c r="G5" s="5">
        <v>3.11</v>
      </c>
      <c r="H5" s="5">
        <v>3.08</v>
      </c>
      <c r="I5" s="5">
        <v>3.78</v>
      </c>
      <c r="J5" s="5">
        <v>3.11</v>
      </c>
      <c r="K5" s="5">
        <v>3.09</v>
      </c>
      <c r="L5" s="5">
        <v>3.78</v>
      </c>
      <c r="M5" s="5">
        <f t="shared" si="2"/>
        <v>3.11</v>
      </c>
      <c r="N5" s="5">
        <f t="shared" si="3"/>
        <v>3.0833333333333335</v>
      </c>
      <c r="O5" s="5">
        <f t="shared" si="4"/>
        <v>3.7833333333333332</v>
      </c>
      <c r="P5" s="5">
        <f t="shared" si="5"/>
        <v>0</v>
      </c>
      <c r="Q5" s="5">
        <f t="shared" si="1"/>
        <v>5.7735026918961348E-3</v>
      </c>
      <c r="R5" s="5">
        <f t="shared" si="1"/>
        <v>5.7735026918963907E-3</v>
      </c>
      <c r="S5" s="5">
        <f t="shared" si="6"/>
        <v>36.303652</v>
      </c>
      <c r="T5" s="5">
        <f t="shared" si="7"/>
        <v>36.207863999999994</v>
      </c>
      <c r="U5" s="5">
        <f t="shared" si="8"/>
        <v>36.325421999999996</v>
      </c>
      <c r="V5" s="5">
        <f t="shared" si="9"/>
        <v>36.278979333333332</v>
      </c>
      <c r="W5" s="5">
        <f t="shared" si="10"/>
        <v>1.0467266488781899E-3</v>
      </c>
      <c r="X5" s="5">
        <f t="shared" si="11"/>
        <v>1.0494957669969155E-3</v>
      </c>
      <c r="Y5" s="5">
        <f t="shared" si="12"/>
        <v>1.0460993405665047E-3</v>
      </c>
      <c r="Z5" s="5">
        <f t="shared" si="13"/>
        <v>1.0474405854805366E-3</v>
      </c>
      <c r="AA5" s="5">
        <f t="shared" si="14"/>
        <v>36.27901388888889</v>
      </c>
      <c r="AB5" s="5">
        <f t="shared" si="15"/>
        <v>1.0474375107433168E-3</v>
      </c>
      <c r="AC5" s="5">
        <f t="shared" ref="AC5:AC13" si="17">AB5*10^6</f>
        <v>1047.4375107433168</v>
      </c>
      <c r="AD5" s="4">
        <f t="shared" si="16"/>
        <v>57.535000000000004</v>
      </c>
    </row>
    <row r="6" spans="1:30" x14ac:dyDescent="0.25">
      <c r="A6" s="5" t="s">
        <v>80</v>
      </c>
      <c r="B6" s="5" t="s">
        <v>48</v>
      </c>
      <c r="C6" s="5">
        <v>0.13600000000000001</v>
      </c>
      <c r="D6" s="5">
        <v>5.05</v>
      </c>
      <c r="E6" s="5">
        <v>5.03</v>
      </c>
      <c r="F6" s="5">
        <v>5.19</v>
      </c>
      <c r="G6" s="5">
        <v>5.05</v>
      </c>
      <c r="H6" s="5">
        <v>5.04</v>
      </c>
      <c r="I6" s="5">
        <v>5.19</v>
      </c>
      <c r="J6" s="5">
        <v>5.05</v>
      </c>
      <c r="K6" s="5">
        <v>5.05</v>
      </c>
      <c r="L6" s="5">
        <v>5.2</v>
      </c>
      <c r="M6" s="5">
        <f t="shared" si="2"/>
        <v>5.05</v>
      </c>
      <c r="N6" s="5">
        <f t="shared" si="3"/>
        <v>5.04</v>
      </c>
      <c r="O6" s="5">
        <f t="shared" si="4"/>
        <v>5.1933333333333342</v>
      </c>
      <c r="P6" s="5">
        <f t="shared" si="5"/>
        <v>0</v>
      </c>
      <c r="Q6" s="5">
        <f t="shared" si="1"/>
        <v>9.9999999999997868E-3</v>
      </c>
      <c r="R6" s="5">
        <f t="shared" si="1"/>
        <v>5.7735026918961348E-3</v>
      </c>
      <c r="S6" s="5">
        <f t="shared" si="6"/>
        <v>131.83378500000001</v>
      </c>
      <c r="T6" s="5">
        <f t="shared" si="7"/>
        <v>132.09587999999999</v>
      </c>
      <c r="U6" s="5">
        <f t="shared" si="8"/>
        <v>132.613</v>
      </c>
      <c r="V6" s="5">
        <f t="shared" si="9"/>
        <v>132.18088833333334</v>
      </c>
      <c r="W6" s="5">
        <f t="shared" si="10"/>
        <v>1.0316020282661231E-3</v>
      </c>
      <c r="X6" s="5">
        <f t="shared" si="11"/>
        <v>1.0295551988449604E-3</v>
      </c>
      <c r="Y6" s="5">
        <f t="shared" si="12"/>
        <v>1.0255404824564712E-3</v>
      </c>
      <c r="Z6" s="5">
        <f t="shared" si="13"/>
        <v>1.0288992365225182E-3</v>
      </c>
      <c r="AA6" s="5">
        <f t="shared" si="14"/>
        <v>132.18072000000001</v>
      </c>
      <c r="AB6" s="5">
        <f t="shared" si="15"/>
        <v>1.0288943803604641E-3</v>
      </c>
      <c r="AC6" s="5">
        <f t="shared" si="17"/>
        <v>1028.8943803604641</v>
      </c>
      <c r="AD6" s="4">
        <f t="shared" si="16"/>
        <v>152.71199999999999</v>
      </c>
    </row>
    <row r="7" spans="1:30" x14ac:dyDescent="0.25">
      <c r="A7" s="5" t="s">
        <v>80</v>
      </c>
      <c r="B7" s="5" t="s">
        <v>49</v>
      </c>
      <c r="C7" s="5">
        <v>3.6999999999999998E-2</v>
      </c>
      <c r="D7" s="5">
        <v>3.07</v>
      </c>
      <c r="E7" s="5">
        <v>3.03</v>
      </c>
      <c r="F7" s="5">
        <v>3.8</v>
      </c>
      <c r="G7" s="5">
        <v>3.08</v>
      </c>
      <c r="H7" s="5">
        <v>3.06</v>
      </c>
      <c r="I7" s="5">
        <v>3.79</v>
      </c>
      <c r="J7" s="5">
        <v>3.06</v>
      </c>
      <c r="K7" s="5">
        <v>3.07</v>
      </c>
      <c r="L7" s="5">
        <v>3.8</v>
      </c>
      <c r="M7" s="5">
        <f t="shared" si="2"/>
        <v>3.0700000000000003</v>
      </c>
      <c r="N7" s="5">
        <f t="shared" si="3"/>
        <v>3.0533333333333332</v>
      </c>
      <c r="O7" s="5">
        <f t="shared" si="4"/>
        <v>3.7966666666666669</v>
      </c>
      <c r="P7" s="5">
        <f>_xlfn.STDEV.S(F7,I7,L7)</f>
        <v>5.7735026918961348E-3</v>
      </c>
      <c r="Q7" s="5">
        <f>_xlfn.STDEV.S(D7,H7,K7)</f>
        <v>5.7735026918961348E-3</v>
      </c>
      <c r="R7" s="5">
        <f>_xlfn.STDEV.S(F7,I7,L7)</f>
        <v>5.7735026918961348E-3</v>
      </c>
      <c r="S7" s="5">
        <f t="shared" si="6"/>
        <v>35.347979999999993</v>
      </c>
      <c r="T7" s="5">
        <f t="shared" si="7"/>
        <v>35.719992000000005</v>
      </c>
      <c r="U7" s="5">
        <f t="shared" si="8"/>
        <v>35.697959999999995</v>
      </c>
      <c r="V7" s="5">
        <f t="shared" si="9"/>
        <v>35.588643999999995</v>
      </c>
      <c r="W7" s="5">
        <f t="shared" si="10"/>
        <v>1.0467359096615989E-3</v>
      </c>
      <c r="X7" s="5">
        <f t="shared" si="11"/>
        <v>1.0358344985071663E-3</v>
      </c>
      <c r="Y7" s="5">
        <f t="shared" si="12"/>
        <v>1.0364737929002105E-3</v>
      </c>
      <c r="Z7" s="5">
        <f t="shared" si="13"/>
        <v>1.0396814003563251E-3</v>
      </c>
      <c r="AA7" s="5">
        <f t="shared" si="14"/>
        <v>35.588940888888892</v>
      </c>
      <c r="AB7" s="5">
        <f t="shared" si="15"/>
        <v>1.0396488087554088E-3</v>
      </c>
      <c r="AC7" s="5">
        <f t="shared" si="17"/>
        <v>1039.6488087554087</v>
      </c>
      <c r="AD7" s="4">
        <f t="shared" si="16"/>
        <v>56.242400000000004</v>
      </c>
    </row>
    <row r="8" spans="1:30" x14ac:dyDescent="0.25">
      <c r="A8" s="5" t="s">
        <v>80</v>
      </c>
      <c r="B8" s="5" t="s">
        <v>50</v>
      </c>
      <c r="C8" s="5">
        <v>4.1000000000000002E-2</v>
      </c>
      <c r="D8" s="5">
        <v>3.52</v>
      </c>
      <c r="E8" s="5">
        <v>3.52</v>
      </c>
      <c r="F8" s="5">
        <v>3.41</v>
      </c>
      <c r="G8" s="5">
        <v>3.53</v>
      </c>
      <c r="H8" s="5">
        <v>3.54</v>
      </c>
      <c r="I8" s="5">
        <v>3.51</v>
      </c>
      <c r="J8" s="5">
        <v>3.47</v>
      </c>
      <c r="K8" s="5">
        <v>3.57</v>
      </c>
      <c r="L8" s="5">
        <v>3.51</v>
      </c>
      <c r="M8" s="5">
        <f t="shared" si="2"/>
        <v>3.5066666666666664</v>
      </c>
      <c r="N8" s="5">
        <f t="shared" si="3"/>
        <v>3.5433333333333334</v>
      </c>
      <c r="O8" s="5">
        <f t="shared" si="4"/>
        <v>3.4766666666666666</v>
      </c>
      <c r="P8" s="5">
        <f t="shared" si="5"/>
        <v>3.2145502536643007E-2</v>
      </c>
      <c r="Q8" s="5">
        <f>_xlfn.STDEV.S(E8,H8,K8)</f>
        <v>2.5166114784235735E-2</v>
      </c>
      <c r="R8" s="5">
        <f t="shared" si="1"/>
        <v>5.7735026918962373E-2</v>
      </c>
      <c r="S8" s="5">
        <f t="shared" si="6"/>
        <v>42.251263999999999</v>
      </c>
      <c r="T8" s="5">
        <f t="shared" si="7"/>
        <v>43.861661999999995</v>
      </c>
      <c r="U8" s="5">
        <f t="shared" si="8"/>
        <v>43.481528999999995</v>
      </c>
      <c r="V8" s="5">
        <f t="shared" si="9"/>
        <v>43.198151666666661</v>
      </c>
      <c r="W8" s="5">
        <f t="shared" si="10"/>
        <v>9.7038517001526872E-4</v>
      </c>
      <c r="X8" s="5">
        <f t="shared" si="11"/>
        <v>9.3475710063152658E-4</v>
      </c>
      <c r="Y8" s="5">
        <f t="shared" si="12"/>
        <v>9.4292912284662318E-4</v>
      </c>
      <c r="Z8" s="5">
        <f t="shared" si="13"/>
        <v>9.4935713116447269E-4</v>
      </c>
      <c r="AA8" s="5">
        <f t="shared" si="14"/>
        <v>43.198587703703701</v>
      </c>
      <c r="AB8" s="5">
        <f t="shared" si="15"/>
        <v>9.4910510225973887E-4</v>
      </c>
      <c r="AC8" s="5"/>
      <c r="AD8" s="4">
        <f t="shared" si="16"/>
        <v>74.551733333333331</v>
      </c>
    </row>
    <row r="9" spans="1:30" x14ac:dyDescent="0.25">
      <c r="A9" s="5" t="s">
        <v>80</v>
      </c>
      <c r="B9" s="5" t="s">
        <v>51</v>
      </c>
      <c r="C9" s="5">
        <v>3.0300000000000001E-2</v>
      </c>
      <c r="D9" s="5">
        <v>2.99</v>
      </c>
      <c r="E9" s="5">
        <v>2.97</v>
      </c>
      <c r="F9" s="5">
        <v>3.14</v>
      </c>
      <c r="G9" s="5">
        <v>2.98</v>
      </c>
      <c r="H9" s="5">
        <v>2.97</v>
      </c>
      <c r="I9" s="5">
        <v>3.13</v>
      </c>
      <c r="J9" s="5">
        <v>2.98</v>
      </c>
      <c r="K9" s="5">
        <v>2.95</v>
      </c>
      <c r="L9" s="5">
        <v>3.17</v>
      </c>
      <c r="M9" s="5">
        <f t="shared" si="2"/>
        <v>2.9833333333333338</v>
      </c>
      <c r="N9" s="5">
        <f t="shared" si="3"/>
        <v>2.9633333333333334</v>
      </c>
      <c r="O9" s="5">
        <f t="shared" si="4"/>
        <v>3.1466666666666665</v>
      </c>
      <c r="P9" s="5">
        <f t="shared" si="5"/>
        <v>5.7735026918963907E-3</v>
      </c>
      <c r="Q9" s="5">
        <f t="shared" si="1"/>
        <v>1.1547005383792526E-2</v>
      </c>
      <c r="R9" s="5">
        <f>_xlfn.STDEV.S(F9,I9,L9)</f>
        <v>2.0816659994661313E-2</v>
      </c>
      <c r="S9" s="5">
        <f t="shared" si="6"/>
        <v>27.884142000000008</v>
      </c>
      <c r="T9" s="5">
        <f t="shared" si="7"/>
        <v>27.702378</v>
      </c>
      <c r="U9" s="5">
        <f t="shared" si="8"/>
        <v>27.867470000000001</v>
      </c>
      <c r="V9" s="5">
        <f t="shared" si="9"/>
        <v>27.817996666666669</v>
      </c>
      <c r="W9" s="5">
        <f t="shared" si="10"/>
        <v>1.0866391370406875E-3</v>
      </c>
      <c r="X9" s="5">
        <f t="shared" si="11"/>
        <v>1.0937689175997815E-3</v>
      </c>
      <c r="Y9" s="5">
        <f t="shared" si="12"/>
        <v>1.0872892300592769E-3</v>
      </c>
      <c r="Z9" s="5">
        <f t="shared" si="13"/>
        <v>1.0892324282332489E-3</v>
      </c>
      <c r="AA9" s="5">
        <f t="shared" si="14"/>
        <v>27.818456296296297</v>
      </c>
      <c r="AB9" s="5">
        <f t="shared" si="15"/>
        <v>1.0892049392415097E-3</v>
      </c>
      <c r="AC9" s="5">
        <f t="shared" si="17"/>
        <v>1089.2049392415097</v>
      </c>
      <c r="AD9" s="4">
        <f t="shared" si="16"/>
        <v>53.043666666666674</v>
      </c>
    </row>
    <row r="10" spans="1:30" x14ac:dyDescent="0.25">
      <c r="A10" s="5" t="s">
        <v>80</v>
      </c>
      <c r="B10" s="5" t="s">
        <v>52</v>
      </c>
      <c r="C10" s="5">
        <v>0.1484</v>
      </c>
      <c r="D10" s="5">
        <v>5.18</v>
      </c>
      <c r="E10" s="5">
        <v>5.17</v>
      </c>
      <c r="F10" s="5">
        <v>5.04</v>
      </c>
      <c r="G10" s="5">
        <v>5.18</v>
      </c>
      <c r="H10" s="5">
        <v>5.17</v>
      </c>
      <c r="I10" s="5">
        <v>5.0469999999999997</v>
      </c>
      <c r="J10" s="5">
        <v>5.26</v>
      </c>
      <c r="K10" s="5">
        <v>5.13</v>
      </c>
      <c r="L10" s="5">
        <v>5.07</v>
      </c>
      <c r="M10" s="5">
        <f t="shared" si="2"/>
        <v>5.2066666666666661</v>
      </c>
      <c r="N10" s="5">
        <f t="shared" si="3"/>
        <v>5.1566666666666663</v>
      </c>
      <c r="O10" s="5">
        <f t="shared" si="4"/>
        <v>5.0523333333333333</v>
      </c>
      <c r="P10" s="5">
        <f>_xlfn.STDEV.S(D10,G10,J10)</f>
        <v>4.6188021535170098E-2</v>
      </c>
      <c r="Q10" s="5">
        <f t="shared" si="1"/>
        <v>2.3094010767585053E-2</v>
      </c>
      <c r="R10" s="5">
        <f t="shared" si="1"/>
        <v>1.5695009822658267E-2</v>
      </c>
      <c r="S10" s="5">
        <f t="shared" si="6"/>
        <v>134.97422399999999</v>
      </c>
      <c r="T10" s="5">
        <f t="shared" si="7"/>
        <v>135.16168819999999</v>
      </c>
      <c r="U10" s="5">
        <f t="shared" si="8"/>
        <v>136.80786599999999</v>
      </c>
      <c r="V10" s="5">
        <f t="shared" si="9"/>
        <v>135.64792606666666</v>
      </c>
      <c r="W10" s="5">
        <f t="shared" si="10"/>
        <v>1.0994691845755676E-3</v>
      </c>
      <c r="X10" s="5">
        <f t="shared" si="11"/>
        <v>1.0979442619894711E-3</v>
      </c>
      <c r="Y10" s="5">
        <f t="shared" si="12"/>
        <v>1.0847329494928311E-3</v>
      </c>
      <c r="Z10" s="5">
        <f t="shared" si="13"/>
        <v>1.0940487986859568E-3</v>
      </c>
      <c r="AA10" s="5">
        <f t="shared" si="14"/>
        <v>135.65032221481479</v>
      </c>
      <c r="AB10" s="5">
        <f t="shared" si="15"/>
        <v>1.0939892922996151E-3</v>
      </c>
      <c r="AC10" s="5">
        <f t="shared" si="17"/>
        <v>1093.989292299615</v>
      </c>
      <c r="AD10" s="4">
        <f t="shared" si="16"/>
        <v>161.09426666666664</v>
      </c>
    </row>
    <row r="11" spans="1:30" x14ac:dyDescent="0.25">
      <c r="A11" s="5" t="s">
        <v>80</v>
      </c>
      <c r="B11" s="5" t="s">
        <v>53</v>
      </c>
      <c r="C11" s="5">
        <v>3.6700000000000003E-2</v>
      </c>
      <c r="D11" s="5">
        <v>3.2</v>
      </c>
      <c r="E11" s="5">
        <v>3.16</v>
      </c>
      <c r="F11" s="5">
        <v>3.8</v>
      </c>
      <c r="G11" s="5">
        <v>3.16</v>
      </c>
      <c r="H11" s="5">
        <v>3.13</v>
      </c>
      <c r="I11" s="5">
        <v>3.8</v>
      </c>
      <c r="J11" s="5">
        <v>3.15</v>
      </c>
      <c r="K11" s="5">
        <v>3.16</v>
      </c>
      <c r="L11" s="5">
        <v>3.82</v>
      </c>
      <c r="M11" s="5">
        <f t="shared" si="2"/>
        <v>3.17</v>
      </c>
      <c r="N11" s="5">
        <f t="shared" si="3"/>
        <v>3.15</v>
      </c>
      <c r="O11" s="5">
        <f t="shared" si="4"/>
        <v>3.8066666666666666</v>
      </c>
      <c r="P11" s="5">
        <f t="shared" si="5"/>
        <v>2.6457513110646015E-2</v>
      </c>
      <c r="Q11" s="5">
        <f t="shared" si="1"/>
        <v>1.7320508075688915E-2</v>
      </c>
      <c r="R11" s="5">
        <f t="shared" si="1"/>
        <v>1.1547005383792526E-2</v>
      </c>
      <c r="S11" s="5">
        <f t="shared" si="6"/>
        <v>38.425600000000003</v>
      </c>
      <c r="T11" s="5">
        <f t="shared" si="7"/>
        <v>37.585039999999999</v>
      </c>
      <c r="U11" s="5">
        <f t="shared" si="8"/>
        <v>38.024279999999997</v>
      </c>
      <c r="V11" s="5">
        <f t="shared" si="9"/>
        <v>38.01164</v>
      </c>
      <c r="W11" s="5">
        <f t="shared" si="10"/>
        <v>9.5509243837441711E-4</v>
      </c>
      <c r="X11" s="5">
        <f t="shared" si="11"/>
        <v>9.7645233316234347E-4</v>
      </c>
      <c r="Y11" s="5">
        <f t="shared" si="12"/>
        <v>9.6517277907694785E-4</v>
      </c>
      <c r="Z11" s="5">
        <f t="shared" si="13"/>
        <v>9.6557251687123607E-4</v>
      </c>
      <c r="AA11" s="5">
        <f t="shared" si="14"/>
        <v>38.011470000000003</v>
      </c>
      <c r="AB11" s="5">
        <f t="shared" si="15"/>
        <v>9.654980457214625E-4</v>
      </c>
      <c r="AC11" s="5"/>
      <c r="AD11" s="4">
        <f t="shared" si="16"/>
        <v>59.912999999999997</v>
      </c>
    </row>
    <row r="12" spans="1:30" x14ac:dyDescent="0.25">
      <c r="A12" s="5" t="s">
        <v>80</v>
      </c>
      <c r="B12" s="5" t="s">
        <v>54</v>
      </c>
      <c r="C12" s="5">
        <v>2.9000000000000001E-2</v>
      </c>
      <c r="D12" s="5">
        <v>3</v>
      </c>
      <c r="E12" s="5">
        <v>2.99</v>
      </c>
      <c r="F12" s="5">
        <v>3.2</v>
      </c>
      <c r="G12" s="5">
        <v>2.99</v>
      </c>
      <c r="H12" s="5">
        <v>2.99</v>
      </c>
      <c r="I12" s="5">
        <v>3.19</v>
      </c>
      <c r="J12" s="5">
        <v>3.06</v>
      </c>
      <c r="K12" s="5">
        <v>2.98</v>
      </c>
      <c r="L12" s="5">
        <v>3.2</v>
      </c>
      <c r="M12" s="5">
        <f t="shared" si="2"/>
        <v>3.0166666666666671</v>
      </c>
      <c r="N12" s="5">
        <f t="shared" si="3"/>
        <v>2.9866666666666668</v>
      </c>
      <c r="O12" s="5">
        <f t="shared" si="4"/>
        <v>3.1966666666666668</v>
      </c>
      <c r="P12" s="5">
        <f t="shared" si="5"/>
        <v>3.7859388972001778E-2</v>
      </c>
      <c r="Q12" s="5">
        <f t="shared" si="1"/>
        <v>5.7735026918963907E-3</v>
      </c>
      <c r="R12" s="5">
        <f t="shared" si="1"/>
        <v>5.7735026918963907E-3</v>
      </c>
      <c r="S12" s="5">
        <f t="shared" si="6"/>
        <v>28.704000000000004</v>
      </c>
      <c r="T12" s="5">
        <f t="shared" si="7"/>
        <v>28.518919000000004</v>
      </c>
      <c r="U12" s="5">
        <f t="shared" si="8"/>
        <v>29.180160000000001</v>
      </c>
      <c r="V12" s="5">
        <f t="shared" si="9"/>
        <v>28.801026333333336</v>
      </c>
      <c r="W12" s="5">
        <f t="shared" si="10"/>
        <v>1.0103121516164993E-3</v>
      </c>
      <c r="X12" s="5">
        <f t="shared" si="11"/>
        <v>1.0168688371393038E-3</v>
      </c>
      <c r="Y12" s="5">
        <f t="shared" si="12"/>
        <v>9.938259420099137E-4</v>
      </c>
      <c r="Z12" s="5">
        <f t="shared" si="13"/>
        <v>1.0070023102552389E-3</v>
      </c>
      <c r="AA12" s="5">
        <f t="shared" si="14"/>
        <v>28.801256296296302</v>
      </c>
      <c r="AB12" s="5">
        <f t="shared" si="15"/>
        <v>1.0069005220348412E-3</v>
      </c>
      <c r="AC12" s="5">
        <f t="shared" si="17"/>
        <v>1006.9005220348412</v>
      </c>
      <c r="AD12" s="4">
        <f t="shared" si="16"/>
        <v>54.058666666666674</v>
      </c>
    </row>
    <row r="13" spans="1:30" x14ac:dyDescent="0.25">
      <c r="A13" s="5" t="s">
        <v>80</v>
      </c>
      <c r="B13" s="5" t="s">
        <v>55</v>
      </c>
      <c r="C13" s="5">
        <v>3.0499999999999999E-2</v>
      </c>
      <c r="D13" s="5">
        <v>3.05</v>
      </c>
      <c r="E13" s="5">
        <v>3.07</v>
      </c>
      <c r="F13" s="5">
        <v>3.18</v>
      </c>
      <c r="G13" s="5">
        <v>3.06</v>
      </c>
      <c r="H13" s="5">
        <v>3.07</v>
      </c>
      <c r="I13" s="5">
        <v>3.18</v>
      </c>
      <c r="J13" s="5">
        <v>3.06</v>
      </c>
      <c r="K13" s="5">
        <v>3.09</v>
      </c>
      <c r="L13" s="5">
        <v>3.19</v>
      </c>
      <c r="M13" s="5">
        <f t="shared" si="2"/>
        <v>3.0566666666666666</v>
      </c>
      <c r="N13" s="5">
        <f t="shared" si="3"/>
        <v>3.0766666666666667</v>
      </c>
      <c r="O13" s="5">
        <f t="shared" si="4"/>
        <v>3.1833333333333336</v>
      </c>
      <c r="P13" s="5">
        <f t="shared" si="5"/>
        <v>5.7735026918963907E-3</v>
      </c>
      <c r="Q13" s="5">
        <f t="shared" si="1"/>
        <v>1.1547005383792526E-2</v>
      </c>
      <c r="R13" s="5">
        <f t="shared" si="1"/>
        <v>5.7735026918961348E-3</v>
      </c>
      <c r="S13" s="5">
        <f t="shared" si="6"/>
        <v>29.775929999999995</v>
      </c>
      <c r="T13" s="5">
        <f t="shared" si="7"/>
        <v>29.873556000000001</v>
      </c>
      <c r="U13" s="5">
        <f t="shared" si="8"/>
        <v>30.162725999999996</v>
      </c>
      <c r="V13" s="5">
        <f t="shared" si="9"/>
        <v>29.937403999999997</v>
      </c>
      <c r="W13" s="5">
        <f t="shared" si="10"/>
        <v>1.0243172925245324E-3</v>
      </c>
      <c r="X13" s="5">
        <f t="shared" si="11"/>
        <v>1.0209698503920992E-3</v>
      </c>
      <c r="Y13" s="5">
        <f t="shared" si="12"/>
        <v>1.0111818142697052E-3</v>
      </c>
      <c r="Z13" s="5">
        <f t="shared" si="13"/>
        <v>1.0188229857287789E-3</v>
      </c>
      <c r="AA13" s="5">
        <f t="shared" si="14"/>
        <v>29.937163148148148</v>
      </c>
      <c r="AB13" s="5">
        <f t="shared" si="15"/>
        <v>1.0188006074278507E-3</v>
      </c>
      <c r="AC13" s="5">
        <f t="shared" si="17"/>
        <v>1018.8006074278507</v>
      </c>
      <c r="AD13" s="4">
        <f t="shared" si="16"/>
        <v>56.426066666666664</v>
      </c>
    </row>
    <row r="14" spans="1:30" x14ac:dyDescent="0.25">
      <c r="A14" s="5" t="s">
        <v>80</v>
      </c>
      <c r="B14" s="5" t="s">
        <v>56</v>
      </c>
      <c r="C14" s="5">
        <v>4.0300000000000002E-2</v>
      </c>
      <c r="D14" s="5">
        <v>3.44</v>
      </c>
      <c r="E14" s="5">
        <v>3.58</v>
      </c>
      <c r="F14" s="5">
        <v>3.47</v>
      </c>
      <c r="G14" s="5">
        <v>3.44</v>
      </c>
      <c r="H14" s="5">
        <v>3.49</v>
      </c>
      <c r="I14" s="5">
        <v>3.48</v>
      </c>
      <c r="J14" s="5">
        <v>3.47</v>
      </c>
      <c r="K14" s="5">
        <v>3.58</v>
      </c>
      <c r="L14" s="5">
        <v>3.51</v>
      </c>
      <c r="M14" s="5">
        <f t="shared" si="2"/>
        <v>3.4499999999999997</v>
      </c>
      <c r="N14" s="5">
        <f t="shared" si="3"/>
        <v>3.5500000000000003</v>
      </c>
      <c r="O14" s="5">
        <f t="shared" si="4"/>
        <v>3.4866666666666668</v>
      </c>
      <c r="P14" s="5">
        <f t="shared" si="5"/>
        <v>1.7320508075688915E-2</v>
      </c>
      <c r="Q14" s="5">
        <f t="shared" si="1"/>
        <v>5.1961524227066236E-2</v>
      </c>
      <c r="R14" s="5">
        <f t="shared" si="1"/>
        <v>2.0816659994661132E-2</v>
      </c>
      <c r="S14" s="5">
        <f t="shared" si="6"/>
        <v>42.733744000000009</v>
      </c>
      <c r="T14" s="5">
        <f t="shared" si="7"/>
        <v>41.779488000000001</v>
      </c>
      <c r="U14" s="5">
        <f t="shared" si="8"/>
        <v>43.603326000000003</v>
      </c>
      <c r="V14" s="5">
        <f t="shared" si="9"/>
        <v>42.705519333333342</v>
      </c>
      <c r="W14" s="5">
        <f t="shared" si="10"/>
        <v>9.4304865962598539E-4</v>
      </c>
      <c r="X14" s="5">
        <f t="shared" si="11"/>
        <v>9.6458817302883177E-4</v>
      </c>
      <c r="Y14" s="5">
        <f t="shared" si="12"/>
        <v>9.2424142139982629E-4</v>
      </c>
      <c r="Z14" s="5">
        <f t="shared" si="13"/>
        <v>9.4395941801821452E-4</v>
      </c>
      <c r="AA14" s="5">
        <f t="shared" si="14"/>
        <v>42.702950000000001</v>
      </c>
      <c r="AB14" s="5">
        <f t="shared" si="15"/>
        <v>9.4372871195081375E-4</v>
      </c>
      <c r="AC14" s="5"/>
      <c r="AD14" s="4">
        <f t="shared" si="16"/>
        <v>73.484999999999999</v>
      </c>
    </row>
    <row r="15" spans="1:30" x14ac:dyDescent="0.25">
      <c r="A15" s="5" t="s">
        <v>80</v>
      </c>
      <c r="B15" s="5" t="s">
        <v>93</v>
      </c>
      <c r="C15" s="5">
        <v>1.11E-2</v>
      </c>
      <c r="D15" s="5">
        <v>3.11</v>
      </c>
      <c r="E15" s="5">
        <v>3.13</v>
      </c>
      <c r="F15" s="5">
        <v>1.0900000000000001</v>
      </c>
      <c r="G15" s="5">
        <v>3.08</v>
      </c>
      <c r="H15" s="5">
        <v>3.11</v>
      </c>
      <c r="I15" s="5">
        <v>1.0900000000000001</v>
      </c>
      <c r="J15" s="5">
        <v>3.1</v>
      </c>
      <c r="K15" s="5">
        <v>3.13</v>
      </c>
      <c r="L15" s="5">
        <v>1.07</v>
      </c>
      <c r="M15" s="5">
        <f t="shared" si="2"/>
        <v>3.0966666666666662</v>
      </c>
      <c r="N15" s="5">
        <f t="shared" si="3"/>
        <v>3.1233333333333335</v>
      </c>
      <c r="O15" s="5">
        <f t="shared" si="4"/>
        <v>1.0833333333333333</v>
      </c>
      <c r="P15" s="5">
        <f t="shared" ref="P15:P28" si="18">_xlfn.STDEV.S(D15,G15,J15)</f>
        <v>1.5275252316519385E-2</v>
      </c>
      <c r="Q15" s="5">
        <f t="shared" ref="Q15:Q28" si="19">_xlfn.STDEV.S(E15,H15,K15)</f>
        <v>1.1547005383792526E-2</v>
      </c>
      <c r="R15" s="5">
        <f t="shared" ref="R15:R28" si="20">_xlfn.STDEV.S(F15,I15,L15)</f>
        <v>1.1547005383792526E-2</v>
      </c>
      <c r="S15" s="5">
        <f t="shared" si="6"/>
        <v>10.610386999999999</v>
      </c>
      <c r="T15" s="5">
        <f t="shared" si="7"/>
        <v>10.440892</v>
      </c>
      <c r="U15" s="5">
        <f t="shared" si="8"/>
        <v>10.382210000000001</v>
      </c>
      <c r="V15" s="5">
        <f t="shared" si="9"/>
        <v>10.477829666666667</v>
      </c>
      <c r="W15" s="5">
        <f t="shared" ref="W15:W28" si="21">C15/S15</f>
        <v>1.0461446882191951E-3</v>
      </c>
      <c r="X15" s="5">
        <f t="shared" ref="X15:X28" si="22">C15/T15</f>
        <v>1.0631275565344417E-3</v>
      </c>
      <c r="Y15" s="5">
        <f t="shared" ref="Y15:Y28" si="23">C15/U15</f>
        <v>1.0691365325879558E-3</v>
      </c>
      <c r="Z15" s="5">
        <f t="shared" ref="Z15:Z28" si="24">AVERAGE(W15:Y15)</f>
        <v>1.0594695924471976E-3</v>
      </c>
      <c r="AA15" s="5">
        <f t="shared" ref="AA15:AA28" si="25">M15*N15*O15</f>
        <v>10.477915740740739</v>
      </c>
      <c r="AB15" s="5">
        <f t="shared" ref="AB15:AB28" si="26">C15/AA15</f>
        <v>1.0593709927290637E-3</v>
      </c>
      <c r="AC15" s="5">
        <f t="shared" ref="AC15:AC28" si="27">AB15*10^6</f>
        <v>1059.3709927290636</v>
      </c>
      <c r="AD15" s="4">
        <f t="shared" si="16"/>
        <v>58.031533333333329</v>
      </c>
    </row>
    <row r="16" spans="1:30" x14ac:dyDescent="0.25">
      <c r="A16" s="5" t="s">
        <v>80</v>
      </c>
      <c r="B16" s="5" t="s">
        <v>94</v>
      </c>
      <c r="C16" s="5">
        <v>6.9800000000000001E-2</v>
      </c>
      <c r="D16" s="5">
        <v>5.0199999999999996</v>
      </c>
      <c r="E16" s="5">
        <v>3.99</v>
      </c>
      <c r="F16" s="5">
        <v>3.06</v>
      </c>
      <c r="G16" s="5">
        <v>4.99</v>
      </c>
      <c r="H16" s="5">
        <v>3.98</v>
      </c>
      <c r="I16" s="5">
        <v>3.06</v>
      </c>
      <c r="J16" s="5">
        <v>5.0199999999999996</v>
      </c>
      <c r="K16" s="5">
        <v>4.01</v>
      </c>
      <c r="L16" s="5">
        <v>3.06</v>
      </c>
      <c r="M16" s="5">
        <f t="shared" si="2"/>
        <v>5.01</v>
      </c>
      <c r="N16" s="5">
        <f t="shared" si="3"/>
        <v>3.9933333333333336</v>
      </c>
      <c r="O16" s="5">
        <f t="shared" si="4"/>
        <v>3.06</v>
      </c>
      <c r="P16" s="5">
        <f t="shared" si="18"/>
        <v>1.7320508075688402E-2</v>
      </c>
      <c r="Q16" s="5">
        <f t="shared" si="19"/>
        <v>1.5275252316519335E-2</v>
      </c>
      <c r="R16" s="5">
        <f t="shared" si="20"/>
        <v>0</v>
      </c>
      <c r="S16" s="5">
        <f t="shared" si="6"/>
        <v>61.291187999999998</v>
      </c>
      <c r="T16" s="5">
        <f t="shared" si="7"/>
        <v>60.77221200000001</v>
      </c>
      <c r="U16" s="5">
        <f t="shared" si="8"/>
        <v>61.598411999999996</v>
      </c>
      <c r="V16" s="5">
        <f t="shared" si="9"/>
        <v>61.220604000000002</v>
      </c>
      <c r="W16" s="5">
        <f t="shared" si="21"/>
        <v>1.1388260250396844E-3</v>
      </c>
      <c r="X16" s="5">
        <f t="shared" si="22"/>
        <v>1.1485512490478377E-3</v>
      </c>
      <c r="Y16" s="5">
        <f t="shared" si="23"/>
        <v>1.1331460947402346E-3</v>
      </c>
      <c r="Z16" s="5">
        <f t="shared" si="24"/>
        <v>1.1401744562759188E-3</v>
      </c>
      <c r="AA16" s="5">
        <f t="shared" si="25"/>
        <v>61.220195999999994</v>
      </c>
      <c r="AB16" s="5">
        <f t="shared" si="26"/>
        <v>1.1401466274299416E-3</v>
      </c>
      <c r="AC16" s="5">
        <f t="shared" si="27"/>
        <v>1140.1466274299416</v>
      </c>
      <c r="AD16" s="4">
        <f t="shared" si="16"/>
        <v>120.03960000000001</v>
      </c>
    </row>
    <row r="17" spans="1:30" x14ac:dyDescent="0.25">
      <c r="A17" s="5" t="s">
        <v>80</v>
      </c>
      <c r="B17" s="5" t="s">
        <v>95</v>
      </c>
      <c r="C17" s="5">
        <v>3.0499999999999999E-2</v>
      </c>
      <c r="D17" s="5">
        <v>2.99</v>
      </c>
      <c r="E17" s="5">
        <v>2.98</v>
      </c>
      <c r="F17" s="5">
        <v>3.14</v>
      </c>
      <c r="G17" s="5">
        <v>2.99</v>
      </c>
      <c r="H17" s="5">
        <v>2.97</v>
      </c>
      <c r="I17" s="5">
        <v>3.11</v>
      </c>
      <c r="J17" s="5">
        <v>2.99</v>
      </c>
      <c r="K17" s="5">
        <v>2.98</v>
      </c>
      <c r="L17" s="5">
        <v>3.11</v>
      </c>
      <c r="M17" s="5">
        <f t="shared" si="2"/>
        <v>2.99</v>
      </c>
      <c r="N17" s="5">
        <f t="shared" si="3"/>
        <v>2.9766666666666666</v>
      </c>
      <c r="O17" s="5">
        <f t="shared" si="4"/>
        <v>3.1199999999999997</v>
      </c>
      <c r="P17" s="5">
        <f t="shared" si="18"/>
        <v>0</v>
      </c>
      <c r="Q17" s="5">
        <f t="shared" si="19"/>
        <v>5.7735026918961348E-3</v>
      </c>
      <c r="R17" s="5">
        <f t="shared" si="20"/>
        <v>1.7320508075688915E-2</v>
      </c>
      <c r="S17" s="5">
        <f t="shared" si="6"/>
        <v>27.978028000000005</v>
      </c>
      <c r="T17" s="5">
        <f t="shared" si="7"/>
        <v>27.617733000000005</v>
      </c>
      <c r="U17" s="5">
        <f t="shared" si="8"/>
        <v>27.710722000000004</v>
      </c>
      <c r="V17" s="5">
        <f t="shared" si="9"/>
        <v>27.76882766666667</v>
      </c>
      <c r="W17" s="5">
        <f t="shared" si="21"/>
        <v>1.0901411636302599E-3</v>
      </c>
      <c r="X17" s="5">
        <f t="shared" si="22"/>
        <v>1.1043629105980564E-3</v>
      </c>
      <c r="Y17" s="5">
        <f t="shared" si="23"/>
        <v>1.1006569947906804E-3</v>
      </c>
      <c r="Z17" s="5">
        <f t="shared" si="24"/>
        <v>1.0983870230063322E-3</v>
      </c>
      <c r="AA17" s="5">
        <f t="shared" si="25"/>
        <v>27.768727999999999</v>
      </c>
      <c r="AB17" s="5">
        <f t="shared" si="26"/>
        <v>1.0983578361961699E-3</v>
      </c>
      <c r="AC17" s="5">
        <f t="shared" si="27"/>
        <v>1098.35783619617</v>
      </c>
      <c r="AD17" s="4">
        <f t="shared" si="16"/>
        <v>53.401400000000002</v>
      </c>
    </row>
    <row r="18" spans="1:30" x14ac:dyDescent="0.25">
      <c r="A18" s="5" t="s">
        <v>80</v>
      </c>
      <c r="B18" s="5" t="s">
        <v>96</v>
      </c>
      <c r="C18" s="5">
        <v>0.14249999999999999</v>
      </c>
      <c r="D18" s="5">
        <v>5.05</v>
      </c>
      <c r="E18" s="5">
        <v>5.05</v>
      </c>
      <c r="F18" s="5">
        <v>5.18</v>
      </c>
      <c r="G18" s="5">
        <v>5.07</v>
      </c>
      <c r="H18" s="5">
        <v>5.05</v>
      </c>
      <c r="I18" s="5">
        <v>5.19</v>
      </c>
      <c r="J18" s="5">
        <v>5.0599999999999996</v>
      </c>
      <c r="K18" s="5">
        <v>5.05</v>
      </c>
      <c r="L18" s="5">
        <v>5.19</v>
      </c>
      <c r="M18" s="5">
        <f t="shared" si="2"/>
        <v>5.0599999999999996</v>
      </c>
      <c r="N18" s="5">
        <f t="shared" si="3"/>
        <v>5.05</v>
      </c>
      <c r="O18" s="5">
        <f t="shared" si="4"/>
        <v>5.1866666666666674</v>
      </c>
      <c r="P18" s="5">
        <f t="shared" si="18"/>
        <v>1.0000000000000231E-2</v>
      </c>
      <c r="Q18" s="5">
        <f t="shared" si="19"/>
        <v>0</v>
      </c>
      <c r="R18" s="5">
        <f t="shared" si="20"/>
        <v>5.7735026918966474E-3</v>
      </c>
      <c r="S18" s="5">
        <f t="shared" si="6"/>
        <v>132.10294999999999</v>
      </c>
      <c r="T18" s="5">
        <f t="shared" si="7"/>
        <v>132.88216500000001</v>
      </c>
      <c r="U18" s="5">
        <f t="shared" si="8"/>
        <v>132.62007</v>
      </c>
      <c r="V18" s="5">
        <f t="shared" si="9"/>
        <v>132.53506166666668</v>
      </c>
      <c r="W18" s="5">
        <f t="shared" si="21"/>
        <v>1.0787041470307816E-3</v>
      </c>
      <c r="X18" s="5">
        <f t="shared" si="22"/>
        <v>1.0723786747454029E-3</v>
      </c>
      <c r="Y18" s="5">
        <f t="shared" si="23"/>
        <v>1.074498000189564E-3</v>
      </c>
      <c r="Z18" s="5">
        <f t="shared" si="24"/>
        <v>1.0751936073219162E-3</v>
      </c>
      <c r="AA18" s="5">
        <f t="shared" si="25"/>
        <v>132.53489333333334</v>
      </c>
      <c r="AB18" s="5">
        <f t="shared" si="26"/>
        <v>1.0751885516035674E-3</v>
      </c>
      <c r="AC18" s="5">
        <f t="shared" si="27"/>
        <v>1075.1885516035675</v>
      </c>
      <c r="AD18" s="4">
        <f t="shared" si="16"/>
        <v>153.31799999999998</v>
      </c>
    </row>
    <row r="19" spans="1:30" x14ac:dyDescent="0.25">
      <c r="A19" s="5" t="s">
        <v>80</v>
      </c>
      <c r="B19" s="5" t="s">
        <v>97</v>
      </c>
      <c r="C19" s="5">
        <v>1.18E-2</v>
      </c>
      <c r="D19" s="5">
        <v>3.14</v>
      </c>
      <c r="E19" s="5">
        <v>3.18</v>
      </c>
      <c r="F19" s="5">
        <v>1.19</v>
      </c>
      <c r="G19" s="5">
        <v>3.14</v>
      </c>
      <c r="H19" s="5">
        <v>3.16</v>
      </c>
      <c r="I19" s="5">
        <v>1.1399999999999999</v>
      </c>
      <c r="J19" s="5">
        <v>3.15</v>
      </c>
      <c r="K19" s="5">
        <v>3.18</v>
      </c>
      <c r="L19" s="5">
        <v>1.1399999999999999</v>
      </c>
      <c r="M19" s="5">
        <f t="shared" si="2"/>
        <v>3.1433333333333331</v>
      </c>
      <c r="N19" s="5">
        <f t="shared" si="3"/>
        <v>3.1733333333333333</v>
      </c>
      <c r="O19" s="5">
        <f t="shared" si="4"/>
        <v>1.1566666666666665</v>
      </c>
      <c r="P19" s="5">
        <f t="shared" si="18"/>
        <v>5.7735026918961348E-3</v>
      </c>
      <c r="Q19" s="5">
        <f t="shared" si="19"/>
        <v>1.1547005383792526E-2</v>
      </c>
      <c r="R19" s="5">
        <f t="shared" si="20"/>
        <v>2.8867513459481315E-2</v>
      </c>
      <c r="S19" s="5">
        <f t="shared" si="6"/>
        <v>11.882388000000001</v>
      </c>
      <c r="T19" s="5">
        <f t="shared" si="7"/>
        <v>11.311536</v>
      </c>
      <c r="U19" s="5">
        <f t="shared" si="8"/>
        <v>11.419379999999999</v>
      </c>
      <c r="V19" s="5">
        <f t="shared" si="9"/>
        <v>11.537768</v>
      </c>
      <c r="W19" s="5">
        <f t="shared" si="21"/>
        <v>9.9306637689326412E-4</v>
      </c>
      <c r="X19" s="5">
        <f t="shared" si="22"/>
        <v>1.0431828179656591E-3</v>
      </c>
      <c r="Y19" s="5">
        <f t="shared" si="23"/>
        <v>1.033331056502192E-3</v>
      </c>
      <c r="Z19" s="5">
        <f t="shared" si="24"/>
        <v>1.0231934171203718E-3</v>
      </c>
      <c r="AA19" s="5">
        <f t="shared" si="25"/>
        <v>11.53757007407407</v>
      </c>
      <c r="AB19" s="5">
        <f t="shared" si="26"/>
        <v>1.022745684250762E-3</v>
      </c>
      <c r="AC19" s="5">
        <f t="shared" si="27"/>
        <v>1022.745684250762</v>
      </c>
      <c r="AD19" s="4">
        <f t="shared" si="16"/>
        <v>59.849066666666666</v>
      </c>
    </row>
    <row r="20" spans="1:30" x14ac:dyDescent="0.25">
      <c r="A20" s="5" t="s">
        <v>80</v>
      </c>
      <c r="B20" s="5" t="s">
        <v>98</v>
      </c>
      <c r="C20" s="5">
        <v>0.14080000000000001</v>
      </c>
      <c r="D20" s="5">
        <v>5.0599999999999996</v>
      </c>
      <c r="E20" s="5">
        <v>5.0599999999999996</v>
      </c>
      <c r="F20" s="5">
        <v>5.09</v>
      </c>
      <c r="G20" s="5">
        <v>5.08</v>
      </c>
      <c r="H20" s="5">
        <v>5.07</v>
      </c>
      <c r="I20" s="5">
        <v>5.13</v>
      </c>
      <c r="J20" s="5">
        <v>5.07</v>
      </c>
      <c r="K20" s="5">
        <v>5.07</v>
      </c>
      <c r="L20" s="5">
        <v>5.12</v>
      </c>
      <c r="M20" s="5">
        <f t="shared" si="2"/>
        <v>5.07</v>
      </c>
      <c r="N20" s="5">
        <f t="shared" si="3"/>
        <v>5.0666666666666664</v>
      </c>
      <c r="O20" s="5">
        <f t="shared" si="4"/>
        <v>5.1133333333333333</v>
      </c>
      <c r="P20" s="5">
        <f t="shared" si="18"/>
        <v>1.0000000000000231E-2</v>
      </c>
      <c r="Q20" s="5">
        <f t="shared" si="19"/>
        <v>5.7735026918966474E-3</v>
      </c>
      <c r="R20" s="5">
        <f t="shared" si="20"/>
        <v>2.0816659994661379E-2</v>
      </c>
      <c r="S20" s="5">
        <f t="shared" si="6"/>
        <v>130.32232399999998</v>
      </c>
      <c r="T20" s="5">
        <f t="shared" si="7"/>
        <v>132.126228</v>
      </c>
      <c r="U20" s="5">
        <f t="shared" si="8"/>
        <v>131.60908800000001</v>
      </c>
      <c r="V20" s="5">
        <f t="shared" si="9"/>
        <v>131.35254666666665</v>
      </c>
      <c r="W20" s="5">
        <f t="shared" si="21"/>
        <v>1.0803981672395592E-3</v>
      </c>
      <c r="X20" s="5">
        <f t="shared" si="22"/>
        <v>1.0656476169137289E-3</v>
      </c>
      <c r="Y20" s="5">
        <f t="shared" si="23"/>
        <v>1.0698349341954256E-3</v>
      </c>
      <c r="Z20" s="5">
        <f t="shared" si="24"/>
        <v>1.0719602394495713E-3</v>
      </c>
      <c r="AA20" s="5">
        <f t="shared" si="25"/>
        <v>131.35130666666666</v>
      </c>
      <c r="AB20" s="5">
        <f t="shared" si="26"/>
        <v>1.0719345210421967E-3</v>
      </c>
      <c r="AC20" s="5">
        <f t="shared" si="27"/>
        <v>1071.9345210421966</v>
      </c>
      <c r="AD20" s="4">
        <f t="shared" si="16"/>
        <v>154.12800000000001</v>
      </c>
    </row>
    <row r="21" spans="1:30" x14ac:dyDescent="0.25">
      <c r="A21" s="5" t="s">
        <v>80</v>
      </c>
      <c r="B21" s="5" t="s">
        <v>99</v>
      </c>
      <c r="C21" s="5">
        <v>0.13869999999999999</v>
      </c>
      <c r="D21" s="5">
        <v>5.13</v>
      </c>
      <c r="E21" s="5">
        <v>5.07</v>
      </c>
      <c r="F21" s="5">
        <v>5.16</v>
      </c>
      <c r="G21" s="5">
        <v>5.08</v>
      </c>
      <c r="H21" s="5">
        <v>5.0599999999999996</v>
      </c>
      <c r="I21" s="5">
        <v>5.16</v>
      </c>
      <c r="J21" s="5">
        <v>5.1100000000000003</v>
      </c>
      <c r="K21" s="5">
        <v>5.0599999999999996</v>
      </c>
      <c r="L21" s="5">
        <v>5.16</v>
      </c>
      <c r="M21" s="5">
        <f t="shared" si="2"/>
        <v>5.1066666666666665</v>
      </c>
      <c r="N21" s="5">
        <f t="shared" si="3"/>
        <v>5.0633333333333326</v>
      </c>
      <c r="O21" s="5">
        <f t="shared" si="4"/>
        <v>5.16</v>
      </c>
      <c r="P21" s="5">
        <f t="shared" si="18"/>
        <v>2.5166114784235766E-2</v>
      </c>
      <c r="Q21" s="5">
        <f t="shared" si="19"/>
        <v>5.7735026918966474E-3</v>
      </c>
      <c r="R21" s="5">
        <f t="shared" si="20"/>
        <v>0</v>
      </c>
      <c r="S21" s="5">
        <f t="shared" si="6"/>
        <v>134.20695599999999</v>
      </c>
      <c r="T21" s="5">
        <f t="shared" si="7"/>
        <v>132.63676799999999</v>
      </c>
      <c r="U21" s="5">
        <f t="shared" si="8"/>
        <v>133.42005600000002</v>
      </c>
      <c r="V21" s="5">
        <f t="shared" si="9"/>
        <v>133.42125999999999</v>
      </c>
      <c r="W21" s="5">
        <f t="shared" si="21"/>
        <v>1.0334784733512621E-3</v>
      </c>
      <c r="X21" s="5">
        <f t="shared" si="22"/>
        <v>1.0457130559755497E-3</v>
      </c>
      <c r="Y21" s="5">
        <f t="shared" si="23"/>
        <v>1.039573840382738E-3</v>
      </c>
      <c r="Z21" s="5">
        <f t="shared" si="24"/>
        <v>1.03958845656985E-3</v>
      </c>
      <c r="AA21" s="5">
        <f t="shared" si="25"/>
        <v>133.42085866666665</v>
      </c>
      <c r="AB21" s="5">
        <f t="shared" si="26"/>
        <v>1.0395675862536796E-3</v>
      </c>
      <c r="AC21" s="5">
        <f t="shared" si="27"/>
        <v>1039.5675862536796</v>
      </c>
      <c r="AD21" s="4">
        <f t="shared" si="16"/>
        <v>155.14053333333331</v>
      </c>
    </row>
    <row r="22" spans="1:30" x14ac:dyDescent="0.25">
      <c r="A22" s="5" t="s">
        <v>80</v>
      </c>
      <c r="B22" s="5" t="s">
        <v>100</v>
      </c>
      <c r="C22" s="5">
        <v>0.1361</v>
      </c>
      <c r="D22" s="5">
        <v>5.0599999999999996</v>
      </c>
      <c r="E22" s="5">
        <v>5.04</v>
      </c>
      <c r="F22" s="5">
        <v>5.19</v>
      </c>
      <c r="G22" s="5">
        <v>5.07</v>
      </c>
      <c r="H22" s="5">
        <v>5.04</v>
      </c>
      <c r="I22" s="5">
        <v>5.18</v>
      </c>
      <c r="J22" s="5">
        <v>5.0599999999999996</v>
      </c>
      <c r="K22" s="5">
        <v>5.05</v>
      </c>
      <c r="L22" s="5">
        <v>5.17</v>
      </c>
      <c r="M22" s="5">
        <f t="shared" si="2"/>
        <v>5.0633333333333326</v>
      </c>
      <c r="N22" s="5">
        <f t="shared" si="3"/>
        <v>5.043333333333333</v>
      </c>
      <c r="O22" s="5">
        <f t="shared" si="4"/>
        <v>5.1800000000000006</v>
      </c>
      <c r="P22" s="5">
        <f t="shared" si="18"/>
        <v>5.7735026918966474E-3</v>
      </c>
      <c r="Q22" s="5">
        <f t="shared" si="19"/>
        <v>5.7735026918961348E-3</v>
      </c>
      <c r="R22" s="5">
        <f t="shared" si="20"/>
        <v>1.0000000000000231E-2</v>
      </c>
      <c r="S22" s="5">
        <f t="shared" si="6"/>
        <v>132.35745600000001</v>
      </c>
      <c r="T22" s="5">
        <f t="shared" si="7"/>
        <v>132.36350400000001</v>
      </c>
      <c r="U22" s="5">
        <f t="shared" si="8"/>
        <v>132.10900999999998</v>
      </c>
      <c r="V22" s="5">
        <f t="shared" si="9"/>
        <v>132.27665666666667</v>
      </c>
      <c r="W22" s="5">
        <f t="shared" si="21"/>
        <v>1.0282760345590202E-3</v>
      </c>
      <c r="X22" s="5">
        <f t="shared" si="22"/>
        <v>1.0282290502070721E-3</v>
      </c>
      <c r="Y22" s="5">
        <f t="shared" si="23"/>
        <v>1.0302098244472501E-3</v>
      </c>
      <c r="Z22" s="5">
        <f t="shared" si="24"/>
        <v>1.0289049697377809E-3</v>
      </c>
      <c r="AA22" s="5">
        <f t="shared" si="25"/>
        <v>132.27688288888888</v>
      </c>
      <c r="AB22" s="5">
        <f t="shared" si="26"/>
        <v>1.0289023828473679E-3</v>
      </c>
      <c r="AC22" s="5">
        <f t="shared" si="27"/>
        <v>1028.9023828473678</v>
      </c>
      <c r="AD22" s="4">
        <f t="shared" si="16"/>
        <v>153.21646666666663</v>
      </c>
    </row>
    <row r="23" spans="1:30" x14ac:dyDescent="0.25">
      <c r="A23" s="5" t="s">
        <v>80</v>
      </c>
      <c r="B23" s="5" t="s">
        <v>101</v>
      </c>
      <c r="C23" s="5">
        <v>1.1299999999999999E-2</v>
      </c>
      <c r="D23" s="5">
        <v>3.15</v>
      </c>
      <c r="E23" s="5">
        <v>3.13</v>
      </c>
      <c r="F23" s="5">
        <v>1.1100000000000001</v>
      </c>
      <c r="G23" s="5">
        <v>3.17</v>
      </c>
      <c r="H23" s="5">
        <v>3.13</v>
      </c>
      <c r="I23" s="5">
        <v>1.0900000000000001</v>
      </c>
      <c r="J23" s="5">
        <v>3.14</v>
      </c>
      <c r="K23" s="5">
        <v>3.13</v>
      </c>
      <c r="L23" s="5">
        <v>1.08</v>
      </c>
      <c r="M23" s="5">
        <f t="shared" si="2"/>
        <v>3.1533333333333338</v>
      </c>
      <c r="N23" s="5">
        <f t="shared" si="3"/>
        <v>3.1300000000000003</v>
      </c>
      <c r="O23" s="5">
        <f t="shared" si="4"/>
        <v>1.0933333333333335</v>
      </c>
      <c r="P23" s="5">
        <f t="shared" si="18"/>
        <v>1.5275252316519383E-2</v>
      </c>
      <c r="Q23" s="5">
        <f t="shared" si="19"/>
        <v>5.4389598220420729E-16</v>
      </c>
      <c r="R23" s="5">
        <f t="shared" si="20"/>
        <v>1.527525231651948E-2</v>
      </c>
      <c r="S23" s="5">
        <f t="shared" si="6"/>
        <v>10.944044999999999</v>
      </c>
      <c r="T23" s="5">
        <f t="shared" si="7"/>
        <v>10.815088999999999</v>
      </c>
      <c r="U23" s="5">
        <f t="shared" si="8"/>
        <v>10.614456000000002</v>
      </c>
      <c r="V23" s="5">
        <f t="shared" si="9"/>
        <v>10.791196666666666</v>
      </c>
      <c r="W23" s="5">
        <f t="shared" si="21"/>
        <v>1.0325249941863361E-3</v>
      </c>
      <c r="X23" s="5">
        <f t="shared" si="22"/>
        <v>1.0448365242301751E-3</v>
      </c>
      <c r="Y23" s="5">
        <f t="shared" si="23"/>
        <v>1.0645858817446695E-3</v>
      </c>
      <c r="Z23" s="5">
        <f t="shared" si="24"/>
        <v>1.0473158000537267E-3</v>
      </c>
      <c r="AA23" s="5">
        <f t="shared" si="25"/>
        <v>10.791127111111114</v>
      </c>
      <c r="AB23" s="5">
        <f t="shared" si="26"/>
        <v>1.0471566022389749E-3</v>
      </c>
      <c r="AC23" s="5">
        <f t="shared" si="27"/>
        <v>1047.156602238975</v>
      </c>
      <c r="AD23" s="4">
        <f t="shared" si="16"/>
        <v>59.219600000000014</v>
      </c>
    </row>
    <row r="24" spans="1:30" x14ac:dyDescent="0.25">
      <c r="A24" s="5" t="s">
        <v>80</v>
      </c>
      <c r="B24" s="5" t="s">
        <v>102</v>
      </c>
      <c r="C24" s="5">
        <v>3.1399999999999997E-2</v>
      </c>
      <c r="D24" s="5">
        <v>3.14</v>
      </c>
      <c r="E24" s="5">
        <v>3.06</v>
      </c>
      <c r="F24" s="5">
        <v>3.16</v>
      </c>
      <c r="G24" s="5">
        <v>3.08</v>
      </c>
      <c r="H24" s="5">
        <v>3.06</v>
      </c>
      <c r="I24" s="5">
        <v>3.16</v>
      </c>
      <c r="J24" s="5">
        <v>3.11</v>
      </c>
      <c r="K24" s="5">
        <v>3.06</v>
      </c>
      <c r="L24" s="5">
        <v>3.14</v>
      </c>
      <c r="M24" s="5">
        <f t="shared" si="2"/>
        <v>3.11</v>
      </c>
      <c r="N24" s="5">
        <f t="shared" si="3"/>
        <v>3.06</v>
      </c>
      <c r="O24" s="5">
        <f t="shared" si="4"/>
        <v>3.1533333333333338</v>
      </c>
      <c r="P24" s="5">
        <f t="shared" si="18"/>
        <v>3.0000000000000027E-2</v>
      </c>
      <c r="Q24" s="5">
        <f t="shared" si="19"/>
        <v>0</v>
      </c>
      <c r="R24" s="5">
        <f t="shared" si="20"/>
        <v>1.1547005383792526E-2</v>
      </c>
      <c r="S24" s="5">
        <f t="shared" si="6"/>
        <v>30.362544000000007</v>
      </c>
      <c r="T24" s="5">
        <f t="shared" si="7"/>
        <v>29.782368000000005</v>
      </c>
      <c r="U24" s="5">
        <f t="shared" si="8"/>
        <v>29.882124000000001</v>
      </c>
      <c r="V24" s="5">
        <f t="shared" si="9"/>
        <v>30.009012000000002</v>
      </c>
      <c r="W24" s="5">
        <f t="shared" si="21"/>
        <v>1.0341689418383385E-3</v>
      </c>
      <c r="X24" s="5">
        <f t="shared" si="22"/>
        <v>1.0543150900559684E-3</v>
      </c>
      <c r="Y24" s="5">
        <f t="shared" si="23"/>
        <v>1.050795452157283E-3</v>
      </c>
      <c r="Z24" s="5">
        <f t="shared" si="24"/>
        <v>1.0464264946838631E-3</v>
      </c>
      <c r="AA24" s="5">
        <f t="shared" si="25"/>
        <v>30.009012000000006</v>
      </c>
      <c r="AB24" s="5">
        <f t="shared" si="26"/>
        <v>1.0463523424230025E-3</v>
      </c>
      <c r="AC24" s="5">
        <f t="shared" si="27"/>
        <v>1046.3523424230025</v>
      </c>
      <c r="AD24" s="4">
        <f t="shared" si="16"/>
        <v>57.099600000000002</v>
      </c>
    </row>
    <row r="25" spans="1:30" x14ac:dyDescent="0.25">
      <c r="A25" s="5" t="s">
        <v>80</v>
      </c>
      <c r="B25" s="5" t="s">
        <v>103</v>
      </c>
      <c r="C25" s="5">
        <v>6.1600000000000002E-2</v>
      </c>
      <c r="D25" s="5">
        <v>4.9400000000000004</v>
      </c>
      <c r="E25" s="5">
        <v>3.8</v>
      </c>
      <c r="F25" s="5">
        <v>3.14</v>
      </c>
      <c r="G25" s="5">
        <v>4.97</v>
      </c>
      <c r="H25" s="5">
        <v>3.81</v>
      </c>
      <c r="I25" s="5">
        <v>3.11</v>
      </c>
      <c r="J25" s="5">
        <v>4.9400000000000004</v>
      </c>
      <c r="K25" s="5">
        <v>3.75</v>
      </c>
      <c r="L25" s="5">
        <v>3.12</v>
      </c>
      <c r="M25" s="5">
        <f t="shared" si="2"/>
        <v>4.95</v>
      </c>
      <c r="N25" s="5">
        <f t="shared" si="3"/>
        <v>3.7866666666666666</v>
      </c>
      <c r="O25" s="5">
        <f t="shared" si="4"/>
        <v>3.1233333333333335</v>
      </c>
      <c r="P25" s="5">
        <f t="shared" si="18"/>
        <v>1.7320508075688402E-2</v>
      </c>
      <c r="Q25" s="5">
        <f t="shared" si="19"/>
        <v>3.2145502536643167E-2</v>
      </c>
      <c r="R25" s="5">
        <f t="shared" si="20"/>
        <v>1.5275252316519577E-2</v>
      </c>
      <c r="S25" s="5">
        <f t="shared" si="6"/>
        <v>58.944080000000007</v>
      </c>
      <c r="T25" s="5">
        <f t="shared" si="7"/>
        <v>58.890026999999996</v>
      </c>
      <c r="U25" s="5">
        <f t="shared" si="8"/>
        <v>57.798000000000009</v>
      </c>
      <c r="V25" s="5">
        <f t="shared" si="9"/>
        <v>58.544035666666673</v>
      </c>
      <c r="W25" s="5">
        <f t="shared" si="21"/>
        <v>1.045058299323698E-3</v>
      </c>
      <c r="X25" s="5">
        <f t="shared" si="22"/>
        <v>1.0460175200802677E-3</v>
      </c>
      <c r="Y25" s="5">
        <f t="shared" si="23"/>
        <v>1.0657808228658431E-3</v>
      </c>
      <c r="Z25" s="5">
        <f t="shared" si="24"/>
        <v>1.0522855474232697E-3</v>
      </c>
      <c r="AA25" s="5">
        <f t="shared" si="25"/>
        <v>58.543760000000006</v>
      </c>
      <c r="AB25" s="5">
        <f t="shared" si="26"/>
        <v>1.0522043681512768E-3</v>
      </c>
      <c r="AC25" s="5">
        <f t="shared" si="27"/>
        <v>1052.2043681512769</v>
      </c>
      <c r="AD25" s="4">
        <f t="shared" si="16"/>
        <v>112.46400000000001</v>
      </c>
    </row>
    <row r="26" spans="1:30" x14ac:dyDescent="0.25">
      <c r="A26" s="5" t="s">
        <v>80</v>
      </c>
      <c r="B26" s="5" t="s">
        <v>104</v>
      </c>
      <c r="C26" s="5">
        <v>1.12E-2</v>
      </c>
      <c r="D26" s="5">
        <v>3.12</v>
      </c>
      <c r="E26" s="5">
        <v>3.11</v>
      </c>
      <c r="F26" s="5">
        <v>1.1000000000000001</v>
      </c>
      <c r="G26" s="5">
        <v>3.12</v>
      </c>
      <c r="H26" s="5">
        <v>3.12</v>
      </c>
      <c r="I26" s="5">
        <v>1.17</v>
      </c>
      <c r="J26" s="5">
        <v>3.14</v>
      </c>
      <c r="K26" s="5">
        <v>3.1</v>
      </c>
      <c r="L26" s="5">
        <v>1.1200000000000001</v>
      </c>
      <c r="M26" s="5">
        <f t="shared" si="2"/>
        <v>3.1266666666666669</v>
      </c>
      <c r="N26" s="5">
        <f t="shared" si="3"/>
        <v>3.11</v>
      </c>
      <c r="O26" s="5">
        <f t="shared" si="4"/>
        <v>1.1300000000000001</v>
      </c>
      <c r="P26" s="5">
        <f t="shared" si="18"/>
        <v>1.1547005383792526E-2</v>
      </c>
      <c r="Q26" s="5">
        <f t="shared" si="19"/>
        <v>1.0000000000000009E-2</v>
      </c>
      <c r="R26" s="5">
        <f t="shared" si="20"/>
        <v>3.60555127546398E-2</v>
      </c>
      <c r="S26" s="5">
        <f t="shared" si="6"/>
        <v>10.673520000000002</v>
      </c>
      <c r="T26" s="5">
        <f t="shared" si="7"/>
        <v>11.389248</v>
      </c>
      <c r="U26" s="5">
        <f t="shared" si="8"/>
        <v>10.902080000000002</v>
      </c>
      <c r="V26" s="5">
        <f t="shared" si="9"/>
        <v>10.988282666666668</v>
      </c>
      <c r="W26" s="5">
        <f t="shared" si="21"/>
        <v>1.0493258081682518E-3</v>
      </c>
      <c r="X26" s="5">
        <f t="shared" si="22"/>
        <v>9.8338362638165401E-4</v>
      </c>
      <c r="Y26" s="5">
        <f t="shared" si="23"/>
        <v>1.0273268954181219E-3</v>
      </c>
      <c r="Z26" s="5">
        <f t="shared" si="24"/>
        <v>1.0200121099893425E-3</v>
      </c>
      <c r="AA26" s="5">
        <f t="shared" si="25"/>
        <v>10.988044666666667</v>
      </c>
      <c r="AB26" s="5">
        <f t="shared" si="26"/>
        <v>1.0192896315735155E-3</v>
      </c>
      <c r="AC26" s="5">
        <f t="shared" si="27"/>
        <v>1019.2896315735155</v>
      </c>
      <c r="AD26" s="4">
        <f t="shared" si="16"/>
        <v>58.343600000000002</v>
      </c>
    </row>
    <row r="27" spans="1:30" x14ac:dyDescent="0.25">
      <c r="A27" s="5" t="s">
        <v>80</v>
      </c>
      <c r="B27" s="5" t="s">
        <v>105</v>
      </c>
      <c r="C27" s="5">
        <v>9.8400000000000001E-2</v>
      </c>
      <c r="D27" s="5">
        <v>4.9800000000000004</v>
      </c>
      <c r="E27" s="5">
        <v>4.99</v>
      </c>
      <c r="F27" s="5">
        <v>3.83</v>
      </c>
      <c r="G27" s="5">
        <v>4.97</v>
      </c>
      <c r="H27" s="5">
        <v>4.99</v>
      </c>
      <c r="I27" s="5">
        <v>3.81</v>
      </c>
      <c r="J27" s="5">
        <v>4.97</v>
      </c>
      <c r="K27" s="5">
        <v>4.9800000000000004</v>
      </c>
      <c r="L27" s="5">
        <v>3.8</v>
      </c>
      <c r="M27" s="5">
        <f t="shared" si="2"/>
        <v>4.9733333333333327</v>
      </c>
      <c r="N27" s="5">
        <f t="shared" si="3"/>
        <v>4.9866666666666672</v>
      </c>
      <c r="O27" s="5">
        <f t="shared" si="4"/>
        <v>3.8133333333333339</v>
      </c>
      <c r="P27" s="5">
        <f t="shared" si="18"/>
        <v>5.7735026918966474E-3</v>
      </c>
      <c r="Q27" s="5">
        <f t="shared" si="19"/>
        <v>5.7735026918961348E-3</v>
      </c>
      <c r="R27" s="5">
        <f t="shared" si="20"/>
        <v>1.5275252316519577E-2</v>
      </c>
      <c r="S27" s="5">
        <f t="shared" si="6"/>
        <v>95.176266000000012</v>
      </c>
      <c r="T27" s="5">
        <f t="shared" si="7"/>
        <v>94.489142999999999</v>
      </c>
      <c r="U27" s="5">
        <f t="shared" si="8"/>
        <v>94.05228000000001</v>
      </c>
      <c r="V27" s="5">
        <f t="shared" si="9"/>
        <v>94.572563000000002</v>
      </c>
      <c r="W27" s="5">
        <f t="shared" si="21"/>
        <v>1.0338711964178128E-3</v>
      </c>
      <c r="X27" s="5">
        <f t="shared" si="22"/>
        <v>1.0413894853507138E-3</v>
      </c>
      <c r="Y27" s="5">
        <f t="shared" si="23"/>
        <v>1.046226630550583E-3</v>
      </c>
      <c r="Z27" s="5">
        <f t="shared" si="24"/>
        <v>1.0404957707730365E-3</v>
      </c>
      <c r="AA27" s="5">
        <f t="shared" si="25"/>
        <v>94.572022518518537</v>
      </c>
      <c r="AB27" s="5">
        <f t="shared" si="26"/>
        <v>1.0404768490674067E-3</v>
      </c>
      <c r="AC27" s="5">
        <f t="shared" si="27"/>
        <v>1040.4768490674066</v>
      </c>
      <c r="AD27" s="4">
        <f t="shared" si="16"/>
        <v>148.80213333333333</v>
      </c>
    </row>
    <row r="28" spans="1:30" x14ac:dyDescent="0.25">
      <c r="A28" s="5" t="s">
        <v>80</v>
      </c>
      <c r="B28" s="5" t="s">
        <v>106</v>
      </c>
      <c r="C28" s="5">
        <v>0.1411</v>
      </c>
      <c r="D28" s="5">
        <v>5.01</v>
      </c>
      <c r="E28" s="5">
        <v>5.01</v>
      </c>
      <c r="F28" s="5">
        <v>5.19</v>
      </c>
      <c r="G28" s="5">
        <v>5.01</v>
      </c>
      <c r="H28" s="5">
        <v>5</v>
      </c>
      <c r="I28" s="5">
        <v>5.19</v>
      </c>
      <c r="J28" s="5">
        <v>5.01</v>
      </c>
      <c r="K28" s="5">
        <v>5.0199999999999996</v>
      </c>
      <c r="L28" s="5">
        <v>5.2</v>
      </c>
      <c r="M28" s="5">
        <f t="shared" si="2"/>
        <v>5.01</v>
      </c>
      <c r="N28" s="5">
        <f t="shared" si="3"/>
        <v>5.01</v>
      </c>
      <c r="O28" s="5">
        <f t="shared" si="4"/>
        <v>5.1933333333333342</v>
      </c>
      <c r="P28" s="5">
        <f t="shared" si="18"/>
        <v>0</v>
      </c>
      <c r="Q28" s="5">
        <f t="shared" si="19"/>
        <v>9.9999999999997868E-3</v>
      </c>
      <c r="R28" s="5">
        <f t="shared" si="20"/>
        <v>5.7735026918961348E-3</v>
      </c>
      <c r="S28" s="5">
        <f t="shared" si="6"/>
        <v>130.269519</v>
      </c>
      <c r="T28" s="5">
        <f t="shared" si="7"/>
        <v>130.0095</v>
      </c>
      <c r="U28" s="5">
        <f t="shared" si="8"/>
        <v>130.78103999999999</v>
      </c>
      <c r="V28" s="5">
        <f t="shared" si="9"/>
        <v>130.353353</v>
      </c>
      <c r="W28" s="5">
        <f t="shared" si="21"/>
        <v>1.0831390265592367E-3</v>
      </c>
      <c r="X28" s="5">
        <f t="shared" si="22"/>
        <v>1.0853053046123553E-3</v>
      </c>
      <c r="Y28" s="5">
        <f t="shared" si="23"/>
        <v>1.0789025687515561E-3</v>
      </c>
      <c r="Z28" s="5">
        <f t="shared" si="24"/>
        <v>1.0824489666410493E-3</v>
      </c>
      <c r="AA28" s="5">
        <f t="shared" si="25"/>
        <v>130.35318600000002</v>
      </c>
      <c r="AB28" s="5">
        <f t="shared" si="26"/>
        <v>1.0824438153740252E-3</v>
      </c>
      <c r="AC28" s="5">
        <f t="shared" si="27"/>
        <v>1082.4438153740252</v>
      </c>
      <c r="AD28" s="4">
        <f t="shared" si="16"/>
        <v>150.60059999999999</v>
      </c>
    </row>
    <row r="29" spans="1:30" x14ac:dyDescent="0.25">
      <c r="A29" s="5" t="s">
        <v>80</v>
      </c>
      <c r="B29" s="5" t="s">
        <v>107</v>
      </c>
      <c r="C29" s="5">
        <v>0.1062</v>
      </c>
      <c r="D29" s="5">
        <v>5.2</v>
      </c>
      <c r="E29" s="5">
        <v>5.03</v>
      </c>
      <c r="F29" s="5">
        <v>3.87</v>
      </c>
      <c r="G29" s="5">
        <v>5.2</v>
      </c>
      <c r="H29" s="5">
        <v>5.03</v>
      </c>
      <c r="I29" s="5">
        <v>3.89</v>
      </c>
      <c r="J29" s="5">
        <v>5.19</v>
      </c>
      <c r="K29" s="5">
        <v>5.0199999999999996</v>
      </c>
      <c r="L29" s="5">
        <v>3.88</v>
      </c>
      <c r="M29" s="5">
        <f t="shared" si="2"/>
        <v>5.1966666666666663</v>
      </c>
      <c r="N29" s="5">
        <f t="shared" si="3"/>
        <v>5.0266666666666664</v>
      </c>
      <c r="O29" s="5">
        <f t="shared" si="4"/>
        <v>3.8800000000000003</v>
      </c>
      <c r="P29" s="5">
        <f t="shared" ref="P29:P30" si="28">_xlfn.STDEV.S(D29,G29,J29)</f>
        <v>5.7735026918961348E-3</v>
      </c>
      <c r="Q29" s="5">
        <f t="shared" ref="Q29:Q30" si="29">_xlfn.STDEV.S(E29,H29,K29)</f>
        <v>5.7735026918966474E-3</v>
      </c>
      <c r="R29" s="5">
        <f t="shared" ref="R29:R30" si="30">_xlfn.STDEV.S(F29,I29,L29)</f>
        <v>1.0000000000000009E-2</v>
      </c>
      <c r="S29" s="5">
        <f t="shared" si="6"/>
        <v>101.22372000000001</v>
      </c>
      <c r="T29" s="5">
        <f t="shared" si="7"/>
        <v>101.74684000000001</v>
      </c>
      <c r="U29" s="5">
        <f t="shared" si="8"/>
        <v>101.08874399999999</v>
      </c>
      <c r="V29" s="5">
        <f t="shared" si="9"/>
        <v>101.35310133333333</v>
      </c>
      <c r="W29" s="5">
        <f t="shared" ref="W29:W30" si="31">C29/S29</f>
        <v>1.0491612045081921E-3</v>
      </c>
      <c r="X29" s="5">
        <f t="shared" ref="X29:X30" si="32">C29/T29</f>
        <v>1.0437670594978675E-3</v>
      </c>
      <c r="Y29" s="5">
        <f t="shared" ref="Y29:Y30" si="33">C29/U29</f>
        <v>1.0505620685127913E-3</v>
      </c>
      <c r="Z29" s="5">
        <f t="shared" ref="Z29:Z30" si="34">AVERAGE(W29:Y29)</f>
        <v>1.0478301108396168E-3</v>
      </c>
      <c r="AA29" s="5">
        <f t="shared" ref="AA29:AA30" si="35">M29*N29*O29</f>
        <v>101.35301511111111</v>
      </c>
      <c r="AB29" s="5">
        <f t="shared" ref="AB29:AB30" si="36">C29/AA29</f>
        <v>1.0478227991893014E-3</v>
      </c>
      <c r="AC29" s="5">
        <f t="shared" ref="AC29:AC30" si="37">AB29*10^6</f>
        <v>1047.8227991893013</v>
      </c>
      <c r="AD29" s="4">
        <f t="shared" si="16"/>
        <v>156.73146666666665</v>
      </c>
    </row>
    <row r="30" spans="1:30" x14ac:dyDescent="0.25">
      <c r="A30" s="5" t="s">
        <v>80</v>
      </c>
      <c r="B30" s="5" t="s">
        <v>108</v>
      </c>
      <c r="C30" s="5">
        <v>0.14710000000000001</v>
      </c>
      <c r="D30" s="5">
        <v>5.0599999999999996</v>
      </c>
      <c r="E30" s="5">
        <v>5.0999999999999996</v>
      </c>
      <c r="F30" s="5">
        <v>5.03</v>
      </c>
      <c r="G30" s="5">
        <v>5.0599999999999996</v>
      </c>
      <c r="H30" s="5">
        <v>5.05</v>
      </c>
      <c r="I30" s="5">
        <v>5</v>
      </c>
      <c r="J30" s="5">
        <v>5.05</v>
      </c>
      <c r="K30" s="5">
        <v>5.0599999999999996</v>
      </c>
      <c r="L30" s="5">
        <v>5.01</v>
      </c>
      <c r="M30" s="5">
        <f t="shared" si="2"/>
        <v>5.0566666666666658</v>
      </c>
      <c r="N30" s="5">
        <f t="shared" si="3"/>
        <v>5.0699999999999994</v>
      </c>
      <c r="O30" s="5">
        <f t="shared" si="4"/>
        <v>5.0133333333333336</v>
      </c>
      <c r="P30" s="5">
        <f t="shared" si="28"/>
        <v>5.7735026918961348E-3</v>
      </c>
      <c r="Q30" s="5">
        <f t="shared" si="29"/>
        <v>2.6457513110645845E-2</v>
      </c>
      <c r="R30" s="5">
        <f t="shared" si="30"/>
        <v>1.5275252316519626E-2</v>
      </c>
      <c r="S30" s="5">
        <f t="shared" si="6"/>
        <v>129.80418</v>
      </c>
      <c r="T30" s="5">
        <f t="shared" si="7"/>
        <v>127.76499999999999</v>
      </c>
      <c r="U30" s="5">
        <f t="shared" si="8"/>
        <v>128.02052999999998</v>
      </c>
      <c r="V30" s="5">
        <f t="shared" si="9"/>
        <v>128.52990333333332</v>
      </c>
      <c r="W30" s="5">
        <f t="shared" si="31"/>
        <v>1.1332454779191242E-3</v>
      </c>
      <c r="X30" s="5">
        <f t="shared" si="32"/>
        <v>1.1513325245568037E-3</v>
      </c>
      <c r="Y30" s="5">
        <f t="shared" si="33"/>
        <v>1.1490344556455128E-3</v>
      </c>
      <c r="Z30" s="5">
        <f t="shared" si="34"/>
        <v>1.1445374860404804E-3</v>
      </c>
      <c r="AA30" s="5">
        <f t="shared" si="35"/>
        <v>128.52833066666665</v>
      </c>
      <c r="AB30" s="5">
        <f t="shared" si="36"/>
        <v>1.1444947525343519E-3</v>
      </c>
      <c r="AC30" s="5">
        <f t="shared" si="37"/>
        <v>1144.4947525343518</v>
      </c>
      <c r="AD30" s="4">
        <f t="shared" si="16"/>
        <v>153.82379999999995</v>
      </c>
    </row>
    <row r="31" spans="1:30" x14ac:dyDescent="0.25">
      <c r="M31" s="7"/>
      <c r="N31" s="7"/>
      <c r="O31" s="7"/>
    </row>
  </sheetData>
  <mergeCells count="5">
    <mergeCell ref="D1:F1"/>
    <mergeCell ref="G1:I1"/>
    <mergeCell ref="J1:L1"/>
    <mergeCell ref="M1:O1"/>
    <mergeCell ref="P1:R1"/>
  </mergeCells>
  <phoneticPr fontId="2" type="noConversion"/>
  <conditionalFormatting sqref="AC3:AC30">
    <cfRule type="cellIs" dxfId="3" priority="1" operator="lessThan">
      <formula>1000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2" orientation="landscape" horizontalDpi="300" verticalDpi="300" r:id="rId1"/>
  <colBreaks count="1" manualBreakCount="1">
    <brk id="12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E14"/>
  <sheetViews>
    <sheetView topLeftCell="J1" zoomScaleNormal="100" workbookViewId="0">
      <selection activeCell="L8" sqref="L8"/>
    </sheetView>
  </sheetViews>
  <sheetFormatPr defaultColWidth="8.7109375" defaultRowHeight="15" x14ac:dyDescent="0.25"/>
  <cols>
    <col min="1" max="1" width="6.7109375" style="16" bestFit="1" customWidth="1"/>
    <col min="2" max="2" width="19.85546875" style="16" bestFit="1" customWidth="1"/>
    <col min="3" max="3" width="14.28515625" style="16" customWidth="1"/>
    <col min="4" max="4" width="18.85546875" style="16" customWidth="1"/>
    <col min="5" max="5" width="15" style="16" customWidth="1"/>
    <col min="6" max="6" width="15.5703125" style="16" customWidth="1"/>
    <col min="7" max="7" width="18.85546875" style="16" customWidth="1"/>
    <col min="8" max="8" width="15" style="16" customWidth="1"/>
    <col min="9" max="9" width="15.5703125" style="16" customWidth="1"/>
    <col min="10" max="10" width="18.85546875" style="16" customWidth="1"/>
    <col min="11" max="11" width="15" style="16" customWidth="1"/>
    <col min="12" max="12" width="15.5703125" style="16" customWidth="1"/>
    <col min="13" max="14" width="17.140625" style="16" customWidth="1"/>
    <col min="15" max="18" width="17.140625" style="16" bestFit="1" customWidth="1"/>
    <col min="19" max="21" width="22" style="16" hidden="1" customWidth="1"/>
    <col min="22" max="22" width="29.5703125" style="16" bestFit="1" customWidth="1"/>
    <col min="23" max="25" width="25.42578125" style="16" hidden="1" customWidth="1"/>
    <col min="26" max="26" width="33.42578125" style="16" hidden="1" customWidth="1"/>
    <col min="27" max="27" width="29.5703125" style="16" hidden="1" customWidth="1"/>
    <col min="28" max="28" width="23.140625" style="16" bestFit="1" customWidth="1"/>
    <col min="29" max="29" width="18" style="16" bestFit="1" customWidth="1"/>
    <col min="30" max="30" width="38.42578125" customWidth="1"/>
    <col min="31" max="31" width="12" bestFit="1" customWidth="1"/>
  </cols>
  <sheetData>
    <row r="1" spans="1:31" x14ac:dyDescent="0.25">
      <c r="A1" s="13"/>
      <c r="B1" s="13"/>
      <c r="C1" s="13"/>
      <c r="D1" s="69" t="s">
        <v>0</v>
      </c>
      <c r="E1" s="69"/>
      <c r="F1" s="69"/>
      <c r="G1" s="69" t="s">
        <v>1</v>
      </c>
      <c r="H1" s="69"/>
      <c r="I1" s="69"/>
      <c r="J1" s="69" t="s">
        <v>2</v>
      </c>
      <c r="K1" s="69"/>
      <c r="L1" s="69"/>
      <c r="M1" s="69" t="s">
        <v>3</v>
      </c>
      <c r="N1" s="69"/>
      <c r="O1" s="69"/>
      <c r="P1" s="66" t="s">
        <v>4</v>
      </c>
      <c r="Q1" s="66"/>
      <c r="R1" s="66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31" ht="18.75" x14ac:dyDescent="0.3">
      <c r="A2" s="13" t="s">
        <v>6</v>
      </c>
      <c r="B2" s="13" t="s">
        <v>7</v>
      </c>
      <c r="C2" s="13" t="s">
        <v>8</v>
      </c>
      <c r="D2" s="14" t="s">
        <v>57</v>
      </c>
      <c r="E2" s="14" t="s">
        <v>79</v>
      </c>
      <c r="F2" s="14" t="s">
        <v>58</v>
      </c>
      <c r="G2" s="14" t="s">
        <v>57</v>
      </c>
      <c r="H2" s="14" t="s">
        <v>79</v>
      </c>
      <c r="I2" s="14" t="s">
        <v>58</v>
      </c>
      <c r="J2" s="14" t="s">
        <v>57</v>
      </c>
      <c r="K2" s="14" t="s">
        <v>79</v>
      </c>
      <c r="L2" s="14" t="s">
        <v>58</v>
      </c>
      <c r="M2" s="14" t="s">
        <v>57</v>
      </c>
      <c r="N2" s="14" t="s">
        <v>79</v>
      </c>
      <c r="O2" s="14" t="s">
        <v>58</v>
      </c>
      <c r="P2" s="14" t="s">
        <v>57</v>
      </c>
      <c r="Q2" s="14" t="s">
        <v>79</v>
      </c>
      <c r="R2" s="14" t="s">
        <v>58</v>
      </c>
      <c r="S2" s="14" t="s">
        <v>14</v>
      </c>
      <c r="T2" s="14" t="s">
        <v>15</v>
      </c>
      <c r="U2" s="14" t="s">
        <v>16</v>
      </c>
      <c r="V2" s="14" t="s">
        <v>17</v>
      </c>
      <c r="W2" s="14" t="s">
        <v>18</v>
      </c>
      <c r="X2" s="14" t="s">
        <v>19</v>
      </c>
      <c r="Y2" s="14" t="s">
        <v>20</v>
      </c>
      <c r="Z2" s="14" t="s">
        <v>21</v>
      </c>
      <c r="AA2" s="14" t="s">
        <v>17</v>
      </c>
      <c r="AB2" s="14" t="s">
        <v>22</v>
      </c>
      <c r="AC2" s="14" t="s">
        <v>23</v>
      </c>
      <c r="AD2" s="8" t="s">
        <v>154</v>
      </c>
      <c r="AE2" s="15"/>
    </row>
    <row r="3" spans="1:31" x14ac:dyDescent="0.25">
      <c r="A3" s="17" t="s">
        <v>80</v>
      </c>
      <c r="B3" s="17" t="s">
        <v>70</v>
      </c>
      <c r="C3" s="5">
        <v>5.8299999999999998E-2</v>
      </c>
      <c r="D3" s="5">
        <v>4.7699999999999996</v>
      </c>
      <c r="E3" s="5">
        <f>D3/2</f>
        <v>2.3849999999999998</v>
      </c>
      <c r="F3" s="5">
        <v>5.12</v>
      </c>
      <c r="G3" s="5">
        <v>4.76</v>
      </c>
      <c r="H3" s="5">
        <f>G3/2</f>
        <v>2.38</v>
      </c>
      <c r="I3" s="5">
        <v>5.0999999999999996</v>
      </c>
      <c r="J3" s="5">
        <v>4.78</v>
      </c>
      <c r="K3" s="5">
        <f>J3/2</f>
        <v>2.39</v>
      </c>
      <c r="L3" s="5">
        <v>5.1100000000000003</v>
      </c>
      <c r="M3" s="5">
        <f>AVERAGE(D3,G3,J3)</f>
        <v>4.7699999999999996</v>
      </c>
      <c r="N3" s="5">
        <f>AVERAGE(E3,H3,K3)</f>
        <v>2.3849999999999998</v>
      </c>
      <c r="O3" s="5">
        <f>AVERAGE(F3,I3,L3)</f>
        <v>5.1099999999999994</v>
      </c>
      <c r="P3" s="5">
        <f>_xlfn.STDEV.S(D3,G3,J3)</f>
        <v>1.0000000000000231E-2</v>
      </c>
      <c r="Q3" s="5">
        <f>_xlfn.STDEV.S(E3,H3,K3)</f>
        <v>5.0000000000001155E-3</v>
      </c>
      <c r="R3" s="5">
        <f>_xlfn.STDEV.S(F3,I3,L3)</f>
        <v>1.0000000000000231E-2</v>
      </c>
      <c r="S3" s="5">
        <f>PI()*(E3^2*F3)/2</f>
        <v>45.747419832232445</v>
      </c>
      <c r="T3" s="5">
        <f>PI()*(H3^2*I3)/2</f>
        <v>45.377855438834757</v>
      </c>
      <c r="U3" s="5">
        <f>PI()*(K3^2*L3)/2</f>
        <v>45.849708518237016</v>
      </c>
      <c r="V3" s="5">
        <f>AVERAGE(S3:U3)</f>
        <v>45.65832792976807</v>
      </c>
      <c r="W3" s="5">
        <f>C3/S3</f>
        <v>1.2743888117362923E-3</v>
      </c>
      <c r="X3" s="5">
        <f>C3/T3</f>
        <v>1.2847676347019776E-3</v>
      </c>
      <c r="Y3" s="5">
        <f>C3/U3</f>
        <v>1.2715457062679209E-3</v>
      </c>
      <c r="Z3" s="5">
        <f>AVERAGE(W3:Y3)</f>
        <v>1.2769007175687302E-3</v>
      </c>
      <c r="AA3" s="5">
        <f>V3</f>
        <v>45.65832792976807</v>
      </c>
      <c r="AB3" s="5">
        <f>C3/AA3</f>
        <v>1.2768754933311932E-3</v>
      </c>
      <c r="AC3" s="24">
        <f>AB3*10^6</f>
        <v>1276.8754933311932</v>
      </c>
      <c r="AD3" s="26">
        <f>((2*PI()*N3^2)+(2*PI()*N3*O3))/2</f>
        <v>56.157775098693357</v>
      </c>
    </row>
    <row r="4" spans="1:31" x14ac:dyDescent="0.25">
      <c r="A4" s="17" t="s">
        <v>80</v>
      </c>
      <c r="B4" s="17" t="s">
        <v>71</v>
      </c>
      <c r="C4" s="5">
        <v>4.7999999999999996E-3</v>
      </c>
      <c r="D4" s="5">
        <v>2.93</v>
      </c>
      <c r="E4" s="5">
        <f t="shared" ref="E4:E14" si="0">D4/2</f>
        <v>1.4650000000000001</v>
      </c>
      <c r="F4" s="5">
        <v>1.18</v>
      </c>
      <c r="G4" s="5">
        <v>2.91</v>
      </c>
      <c r="H4" s="5">
        <f t="shared" ref="H4:H14" si="1">G4/2</f>
        <v>1.4550000000000001</v>
      </c>
      <c r="I4" s="5">
        <v>1.1399999999999999</v>
      </c>
      <c r="J4" s="5">
        <v>2.92</v>
      </c>
      <c r="K4" s="5">
        <f t="shared" ref="K4:K14" si="2">J4/2</f>
        <v>1.46</v>
      </c>
      <c r="L4" s="5">
        <v>1.1399999999999999</v>
      </c>
      <c r="M4" s="5">
        <f t="shared" ref="M4:O11" si="3">AVERAGE(D4,G4,J4)</f>
        <v>2.92</v>
      </c>
      <c r="N4" s="5">
        <f t="shared" si="3"/>
        <v>1.46</v>
      </c>
      <c r="O4" s="5">
        <f t="shared" si="3"/>
        <v>1.1533333333333333</v>
      </c>
      <c r="P4" s="5">
        <f t="shared" ref="P4:R11" si="4">_xlfn.STDEV.S(D4,G4,J4)</f>
        <v>1.0000000000000009E-2</v>
      </c>
      <c r="Q4" s="5">
        <f t="shared" si="4"/>
        <v>5.0000000000000044E-3</v>
      </c>
      <c r="R4" s="5">
        <f t="shared" si="4"/>
        <v>2.3094010767585049E-2</v>
      </c>
      <c r="S4" s="5">
        <f t="shared" ref="S4:S11" si="5">PI()*(E4^2*F4)/2</f>
        <v>3.9781131688409452</v>
      </c>
      <c r="T4" s="5">
        <f t="shared" ref="T4:T11" si="6">PI()*(H4^2*I4)/2</f>
        <v>3.7909732068555813</v>
      </c>
      <c r="U4" s="5">
        <f t="shared" ref="U4:U11" si="7">PI()*((J4/2)*(K4/2))*L4</f>
        <v>3.8170727732234409</v>
      </c>
      <c r="V4" s="5">
        <f t="shared" ref="V4:V11" si="8">AVERAGE(S4:U4)</f>
        <v>3.862053049639989</v>
      </c>
      <c r="W4" s="5">
        <f t="shared" ref="W4:W11" si="9">C4/S4</f>
        <v>1.2066021745174528E-3</v>
      </c>
      <c r="X4" s="5">
        <f t="shared" ref="X4:X11" si="10">C4/T4</f>
        <v>1.266165635599771E-3</v>
      </c>
      <c r="Y4" s="5">
        <f t="shared" ref="Y4:Y11" si="11">C4/U4</f>
        <v>1.2575081181767716E-3</v>
      </c>
      <c r="Z4" s="5">
        <f t="shared" ref="Z4:Z11" si="12">AVERAGE(W4:Y4)</f>
        <v>1.2434253094313317E-3</v>
      </c>
      <c r="AA4" s="5">
        <f t="shared" ref="AA4:AA11" si="13">V4</f>
        <v>3.862053049639989</v>
      </c>
      <c r="AB4" s="5">
        <f t="shared" ref="AB4:AB11" si="14">C4/AA4</f>
        <v>1.2428622647861981E-3</v>
      </c>
      <c r="AC4" s="24">
        <f t="shared" ref="AC4:AC11" si="15">AB4*10^6</f>
        <v>1242.8622647861982</v>
      </c>
      <c r="AD4" s="26">
        <f t="shared" ref="AD4:AD14" si="16">((2*PI()*N4^2)+(2*PI()*N4*O4))/2</f>
        <v>11.986642050016734</v>
      </c>
    </row>
    <row r="5" spans="1:31" x14ac:dyDescent="0.25">
      <c r="A5" s="17" t="s">
        <v>80</v>
      </c>
      <c r="B5" s="17" t="s">
        <v>72</v>
      </c>
      <c r="C5" s="5">
        <v>3.0000000000000001E-3</v>
      </c>
      <c r="D5" s="5">
        <v>4.74</v>
      </c>
      <c r="E5" s="5">
        <f t="shared" si="0"/>
        <v>2.37</v>
      </c>
      <c r="F5" s="5">
        <v>5.16</v>
      </c>
      <c r="G5" s="5">
        <v>4.72</v>
      </c>
      <c r="H5" s="5">
        <f t="shared" si="1"/>
        <v>2.36</v>
      </c>
      <c r="I5" s="5">
        <v>5.07</v>
      </c>
      <c r="J5" s="5">
        <v>4.74</v>
      </c>
      <c r="K5" s="5">
        <f t="shared" si="2"/>
        <v>2.37</v>
      </c>
      <c r="L5" s="5">
        <v>5.04</v>
      </c>
      <c r="M5" s="5">
        <f t="shared" si="3"/>
        <v>4.7333333333333334</v>
      </c>
      <c r="N5" s="5">
        <f t="shared" si="3"/>
        <v>2.3666666666666667</v>
      </c>
      <c r="O5" s="5">
        <f t="shared" si="3"/>
        <v>5.09</v>
      </c>
      <c r="P5" s="5">
        <f t="shared" si="4"/>
        <v>1.1547005383792781E-2</v>
      </c>
      <c r="Q5" s="5">
        <f t="shared" si="4"/>
        <v>5.7735026918963907E-3</v>
      </c>
      <c r="R5" s="5">
        <f t="shared" si="4"/>
        <v>6.2449979983984001E-2</v>
      </c>
      <c r="S5" s="5">
        <f t="shared" si="5"/>
        <v>45.526710381947154</v>
      </c>
      <c r="T5" s="5">
        <f t="shared" si="6"/>
        <v>44.355945614104456</v>
      </c>
      <c r="U5" s="5">
        <f t="shared" si="7"/>
        <v>44.467949675390244</v>
      </c>
      <c r="V5" s="5">
        <f t="shared" si="8"/>
        <v>44.783535223813949</v>
      </c>
      <c r="W5" s="5">
        <f t="shared" si="9"/>
        <v>6.5895382618938342E-5</v>
      </c>
      <c r="X5" s="5">
        <f t="shared" si="10"/>
        <v>6.76346757681579E-5</v>
      </c>
      <c r="Y5" s="5">
        <f t="shared" si="11"/>
        <v>6.7464320300341632E-5</v>
      </c>
      <c r="Z5" s="5">
        <f t="shared" si="12"/>
        <v>6.6998126229145962E-5</v>
      </c>
      <c r="AA5" s="5">
        <f t="shared" si="13"/>
        <v>44.783535223813949</v>
      </c>
      <c r="AB5" s="5">
        <f t="shared" si="14"/>
        <v>6.6988905297604327E-5</v>
      </c>
      <c r="AC5" s="24"/>
      <c r="AD5" s="26">
        <f t="shared" si="16"/>
        <v>55.441081821300671</v>
      </c>
    </row>
    <row r="6" spans="1:31" x14ac:dyDescent="0.25">
      <c r="A6" s="17" t="s">
        <v>80</v>
      </c>
      <c r="B6" s="17" t="s">
        <v>73</v>
      </c>
      <c r="C6" s="5">
        <v>9.2999999999999992E-3</v>
      </c>
      <c r="D6" s="5">
        <v>2.85</v>
      </c>
      <c r="E6" s="5">
        <f t="shared" si="0"/>
        <v>1.425</v>
      </c>
      <c r="F6" s="5">
        <v>2.54</v>
      </c>
      <c r="G6" s="5">
        <v>2.83</v>
      </c>
      <c r="H6" s="5">
        <f t="shared" si="1"/>
        <v>1.415</v>
      </c>
      <c r="I6" s="5">
        <v>2.54</v>
      </c>
      <c r="J6" s="5">
        <v>2.74</v>
      </c>
      <c r="K6" s="5">
        <f t="shared" si="2"/>
        <v>1.37</v>
      </c>
      <c r="L6" s="5">
        <v>2.52</v>
      </c>
      <c r="M6" s="5">
        <f t="shared" si="3"/>
        <v>2.8066666666666666</v>
      </c>
      <c r="N6" s="5">
        <f t="shared" si="3"/>
        <v>1.4033333333333333</v>
      </c>
      <c r="O6" s="5">
        <f t="shared" si="3"/>
        <v>2.5333333333333332</v>
      </c>
      <c r="P6" s="5">
        <f t="shared" si="4"/>
        <v>5.8594652770823076E-2</v>
      </c>
      <c r="Q6" s="5">
        <f t="shared" si="4"/>
        <v>2.9297326385411538E-2</v>
      </c>
      <c r="R6" s="5">
        <f t="shared" si="4"/>
        <v>1.1547005383792526E-2</v>
      </c>
      <c r="S6" s="5">
        <f t="shared" si="5"/>
        <v>8.1018336593886335</v>
      </c>
      <c r="T6" s="5">
        <f t="shared" si="6"/>
        <v>7.9885226955589577</v>
      </c>
      <c r="U6" s="5">
        <f t="shared" si="7"/>
        <v>7.4295336169185804</v>
      </c>
      <c r="V6" s="5">
        <f t="shared" si="8"/>
        <v>7.8399633239553905</v>
      </c>
      <c r="W6" s="5">
        <f t="shared" si="9"/>
        <v>1.1478882918341451E-3</v>
      </c>
      <c r="X6" s="5">
        <f t="shared" si="10"/>
        <v>1.1641701919642951E-3</v>
      </c>
      <c r="Y6" s="5">
        <f t="shared" si="11"/>
        <v>1.2517609421433913E-3</v>
      </c>
      <c r="Z6" s="5">
        <f t="shared" si="12"/>
        <v>1.1879398086472772E-3</v>
      </c>
      <c r="AA6" s="5">
        <f t="shared" si="13"/>
        <v>7.8399633239553905</v>
      </c>
      <c r="AB6" s="5">
        <f t="shared" si="14"/>
        <v>1.1862300390594169E-3</v>
      </c>
      <c r="AC6" s="24">
        <f t="shared" si="15"/>
        <v>1186.2300390594169</v>
      </c>
      <c r="AD6" s="26">
        <f t="shared" si="16"/>
        <v>17.355588988416653</v>
      </c>
    </row>
    <row r="7" spans="1:31" x14ac:dyDescent="0.25">
      <c r="A7" s="17" t="s">
        <v>80</v>
      </c>
      <c r="B7" s="17" t="s">
        <v>74</v>
      </c>
      <c r="C7" s="5">
        <v>4.7999999999999996E-3</v>
      </c>
      <c r="D7" s="5">
        <v>3.06</v>
      </c>
      <c r="E7" s="5">
        <f t="shared" si="0"/>
        <v>1.53</v>
      </c>
      <c r="F7" s="5">
        <v>1.1200000000000001</v>
      </c>
      <c r="G7" s="5">
        <v>3.02</v>
      </c>
      <c r="H7" s="5">
        <f t="shared" si="1"/>
        <v>1.51</v>
      </c>
      <c r="I7" s="5">
        <v>1.1100000000000001</v>
      </c>
      <c r="J7" s="5">
        <v>3.02</v>
      </c>
      <c r="K7" s="5">
        <f t="shared" si="2"/>
        <v>1.51</v>
      </c>
      <c r="L7" s="5">
        <v>1.1100000000000001</v>
      </c>
      <c r="M7" s="5">
        <f t="shared" si="3"/>
        <v>3.0333333333333332</v>
      </c>
      <c r="N7" s="5">
        <f t="shared" si="3"/>
        <v>1.5166666666666666</v>
      </c>
      <c r="O7" s="5">
        <f t="shared" si="3"/>
        <v>1.1133333333333335</v>
      </c>
      <c r="P7" s="5">
        <f t="shared" si="4"/>
        <v>2.3094010767585049E-2</v>
      </c>
      <c r="Q7" s="5">
        <f t="shared" si="4"/>
        <v>1.1547005383792525E-2</v>
      </c>
      <c r="R7" s="5">
        <f t="shared" si="4"/>
        <v>5.7735026918962632E-3</v>
      </c>
      <c r="S7" s="5">
        <f t="shared" si="5"/>
        <v>4.1183263759614741</v>
      </c>
      <c r="T7" s="5">
        <f t="shared" si="6"/>
        <v>3.9755457022447986</v>
      </c>
      <c r="U7" s="5">
        <f t="shared" si="7"/>
        <v>3.9755457022447986</v>
      </c>
      <c r="V7" s="5">
        <f t="shared" si="8"/>
        <v>4.0231392601503577</v>
      </c>
      <c r="W7" s="5">
        <f t="shared" si="9"/>
        <v>1.1655220013686702E-3</v>
      </c>
      <c r="X7" s="5">
        <f t="shared" si="10"/>
        <v>1.207381416163741E-3</v>
      </c>
      <c r="Y7" s="5">
        <f t="shared" si="11"/>
        <v>1.207381416163741E-3</v>
      </c>
      <c r="Z7" s="5">
        <f t="shared" si="12"/>
        <v>1.1934282778987176E-3</v>
      </c>
      <c r="AA7" s="5">
        <f t="shared" si="13"/>
        <v>4.0231392601503577</v>
      </c>
      <c r="AB7" s="5">
        <f t="shared" si="14"/>
        <v>1.1930981478927498E-3</v>
      </c>
      <c r="AC7" s="24">
        <f t="shared" si="15"/>
        <v>1193.0981478927497</v>
      </c>
      <c r="AD7" s="26">
        <f t="shared" si="16"/>
        <v>12.531289496394088</v>
      </c>
    </row>
    <row r="8" spans="1:31" x14ac:dyDescent="0.25">
      <c r="A8" s="17" t="s">
        <v>80</v>
      </c>
      <c r="B8" s="17" t="s">
        <v>75</v>
      </c>
      <c r="C8" s="5">
        <v>3.9100000000000003E-2</v>
      </c>
      <c r="D8" s="5">
        <v>4.7</v>
      </c>
      <c r="E8" s="5">
        <f t="shared" si="0"/>
        <v>2.35</v>
      </c>
      <c r="F8" s="5">
        <v>3.77</v>
      </c>
      <c r="G8" s="5">
        <v>4.72</v>
      </c>
      <c r="H8" s="5">
        <f t="shared" si="1"/>
        <v>2.36</v>
      </c>
      <c r="I8" s="5">
        <v>3.73</v>
      </c>
      <c r="J8" s="5">
        <v>4.75</v>
      </c>
      <c r="K8" s="5">
        <f t="shared" si="2"/>
        <v>2.375</v>
      </c>
      <c r="L8" s="5">
        <v>3.73</v>
      </c>
      <c r="M8" s="5">
        <f t="shared" si="3"/>
        <v>4.7233333333333336</v>
      </c>
      <c r="N8" s="5">
        <f t="shared" si="3"/>
        <v>2.3616666666666668</v>
      </c>
      <c r="O8" s="5">
        <f t="shared" si="3"/>
        <v>3.7433333333333336</v>
      </c>
      <c r="P8" s="5">
        <f t="shared" si="4"/>
        <v>2.5166114784235766E-2</v>
      </c>
      <c r="Q8" s="5">
        <f t="shared" si="4"/>
        <v>1.2583057392117883E-2</v>
      </c>
      <c r="R8" s="5">
        <f t="shared" si="4"/>
        <v>2.3094010767585053E-2</v>
      </c>
      <c r="S8" s="5">
        <f t="shared" si="5"/>
        <v>32.703704634512562</v>
      </c>
      <c r="T8" s="5">
        <f t="shared" si="6"/>
        <v>32.632677937003869</v>
      </c>
      <c r="U8" s="5">
        <f t="shared" si="7"/>
        <v>33.048818404986434</v>
      </c>
      <c r="V8" s="5">
        <f t="shared" si="8"/>
        <v>32.795066992167619</v>
      </c>
      <c r="W8" s="5">
        <f t="shared" si="9"/>
        <v>1.195583204929553E-3</v>
      </c>
      <c r="X8" s="5">
        <f t="shared" si="10"/>
        <v>1.1981854531056583E-3</v>
      </c>
      <c r="Y8" s="5">
        <f t="shared" si="11"/>
        <v>1.183098273616359E-3</v>
      </c>
      <c r="Z8" s="5">
        <f t="shared" si="12"/>
        <v>1.1922889772171903E-3</v>
      </c>
      <c r="AA8" s="5">
        <f t="shared" si="13"/>
        <v>32.795066992167619</v>
      </c>
      <c r="AB8" s="5">
        <f t="shared" si="14"/>
        <v>1.1922524814277152E-3</v>
      </c>
      <c r="AC8" s="24">
        <f t="shared" si="15"/>
        <v>1192.2524814277151</v>
      </c>
      <c r="AD8" s="26">
        <f t="shared" si="16"/>
        <v>45.295404339641308</v>
      </c>
    </row>
    <row r="9" spans="1:31" x14ac:dyDescent="0.25">
      <c r="A9" s="17" t="s">
        <v>80</v>
      </c>
      <c r="B9" s="17" t="s">
        <v>76</v>
      </c>
      <c r="C9" s="5">
        <v>3.9899999999999998E-2</v>
      </c>
      <c r="D9" s="5">
        <v>4.6900000000000004</v>
      </c>
      <c r="E9" s="5">
        <f t="shared" si="0"/>
        <v>2.3450000000000002</v>
      </c>
      <c r="F9" s="5">
        <v>3.9</v>
      </c>
      <c r="G9" s="5">
        <v>4.68</v>
      </c>
      <c r="H9" s="5">
        <f t="shared" si="1"/>
        <v>2.34</v>
      </c>
      <c r="I9" s="5">
        <v>3.91</v>
      </c>
      <c r="J9" s="5">
        <v>4.71</v>
      </c>
      <c r="K9" s="5">
        <f t="shared" si="2"/>
        <v>2.355</v>
      </c>
      <c r="L9" s="5">
        <v>3.91</v>
      </c>
      <c r="M9" s="5">
        <f t="shared" si="3"/>
        <v>4.6933333333333342</v>
      </c>
      <c r="N9" s="5">
        <f t="shared" si="3"/>
        <v>2.3466666666666671</v>
      </c>
      <c r="O9" s="5">
        <f t="shared" si="3"/>
        <v>3.9066666666666667</v>
      </c>
      <c r="P9" s="5">
        <f t="shared" si="4"/>
        <v>1.5275252316519529E-2</v>
      </c>
      <c r="Q9" s="5">
        <f t="shared" si="4"/>
        <v>7.6376261582597645E-3</v>
      </c>
      <c r="R9" s="5">
        <f t="shared" si="4"/>
        <v>5.7735026918963907E-3</v>
      </c>
      <c r="S9" s="5">
        <f t="shared" si="5"/>
        <v>33.687608256717894</v>
      </c>
      <c r="T9" s="5">
        <f t="shared" si="6"/>
        <v>33.630114754962705</v>
      </c>
      <c r="U9" s="5">
        <f t="shared" si="7"/>
        <v>34.062651980402528</v>
      </c>
      <c r="V9" s="5">
        <f t="shared" si="8"/>
        <v>33.793458330694371</v>
      </c>
      <c r="W9" s="5">
        <f t="shared" si="9"/>
        <v>1.1844117782402448E-3</v>
      </c>
      <c r="X9" s="5">
        <f t="shared" si="10"/>
        <v>1.1864366295126026E-3</v>
      </c>
      <c r="Y9" s="5">
        <f t="shared" si="11"/>
        <v>1.1713709203545252E-3</v>
      </c>
      <c r="Z9" s="5">
        <f t="shared" si="12"/>
        <v>1.1807397760357906E-3</v>
      </c>
      <c r="AA9" s="5">
        <f t="shared" si="13"/>
        <v>33.793458330694371</v>
      </c>
      <c r="AB9" s="5">
        <f t="shared" si="14"/>
        <v>1.1807018864286847E-3</v>
      </c>
      <c r="AC9" s="24">
        <f t="shared" si="15"/>
        <v>1180.7018864286847</v>
      </c>
      <c r="AD9" s="26">
        <f t="shared" si="16"/>
        <v>46.101266488518391</v>
      </c>
    </row>
    <row r="10" spans="1:31" x14ac:dyDescent="0.25">
      <c r="A10" s="17" t="s">
        <v>80</v>
      </c>
      <c r="B10" s="17" t="s">
        <v>77</v>
      </c>
      <c r="C10" s="5">
        <v>4.1999999999999997E-3</v>
      </c>
      <c r="D10" s="5">
        <v>2.84</v>
      </c>
      <c r="E10" s="5">
        <f t="shared" si="0"/>
        <v>1.42</v>
      </c>
      <c r="F10" s="5">
        <v>1.1100000000000001</v>
      </c>
      <c r="G10" s="5">
        <v>2.83</v>
      </c>
      <c r="H10" s="5">
        <f t="shared" si="1"/>
        <v>1.415</v>
      </c>
      <c r="I10" s="5">
        <v>1.1000000000000001</v>
      </c>
      <c r="J10" s="5">
        <v>2.85</v>
      </c>
      <c r="K10" s="5">
        <f t="shared" si="2"/>
        <v>1.425</v>
      </c>
      <c r="L10" s="5">
        <v>1.1000000000000001</v>
      </c>
      <c r="M10" s="5">
        <f t="shared" si="3"/>
        <v>2.84</v>
      </c>
      <c r="N10" s="5">
        <f t="shared" si="3"/>
        <v>1.42</v>
      </c>
      <c r="O10" s="5">
        <f t="shared" si="3"/>
        <v>1.1033333333333333</v>
      </c>
      <c r="P10" s="5">
        <f t="shared" si="4"/>
        <v>1.0000000000000009E-2</v>
      </c>
      <c r="Q10" s="5">
        <f t="shared" si="4"/>
        <v>5.0000000000000044E-3</v>
      </c>
      <c r="R10" s="5">
        <f t="shared" si="4"/>
        <v>5.7735026918962632E-3</v>
      </c>
      <c r="S10" s="5">
        <f t="shared" si="5"/>
        <v>3.515762621817645</v>
      </c>
      <c r="T10" s="5">
        <f t="shared" si="6"/>
        <v>3.4595964429586035</v>
      </c>
      <c r="U10" s="5">
        <f t="shared" si="7"/>
        <v>3.5086681202076759</v>
      </c>
      <c r="V10" s="5">
        <f t="shared" si="8"/>
        <v>3.4946757283279748</v>
      </c>
      <c r="W10" s="5">
        <f t="shared" si="9"/>
        <v>1.1946199023609293E-3</v>
      </c>
      <c r="X10" s="5">
        <f t="shared" si="10"/>
        <v>1.2140144289222972E-3</v>
      </c>
      <c r="Y10" s="5">
        <f t="shared" si="11"/>
        <v>1.1970354151795367E-3</v>
      </c>
      <c r="Z10" s="5">
        <f t="shared" si="12"/>
        <v>1.2018899154875877E-3</v>
      </c>
      <c r="AA10" s="5">
        <f t="shared" si="13"/>
        <v>3.4946757283279748</v>
      </c>
      <c r="AB10" s="5">
        <f t="shared" si="14"/>
        <v>1.2018282457381209E-3</v>
      </c>
      <c r="AC10" s="24">
        <f t="shared" si="15"/>
        <v>1201.8282457381208</v>
      </c>
      <c r="AD10" s="26">
        <f t="shared" si="16"/>
        <v>11.256745356832706</v>
      </c>
    </row>
    <row r="11" spans="1:31" x14ac:dyDescent="0.25">
      <c r="A11" s="17" t="s">
        <v>80</v>
      </c>
      <c r="B11" s="17" t="s">
        <v>78</v>
      </c>
      <c r="C11" s="5">
        <v>5.7000000000000002E-2</v>
      </c>
      <c r="D11" s="5">
        <v>4.87</v>
      </c>
      <c r="E11" s="5">
        <f t="shared" si="0"/>
        <v>2.4350000000000001</v>
      </c>
      <c r="F11" s="5">
        <v>4.93</v>
      </c>
      <c r="G11" s="5">
        <v>4.87</v>
      </c>
      <c r="H11" s="5">
        <f t="shared" si="1"/>
        <v>2.4350000000000001</v>
      </c>
      <c r="I11" s="5">
        <v>4.93</v>
      </c>
      <c r="J11" s="5">
        <v>4.84</v>
      </c>
      <c r="K11" s="5">
        <f t="shared" si="2"/>
        <v>2.42</v>
      </c>
      <c r="L11" s="5">
        <v>4.9400000000000004</v>
      </c>
      <c r="M11" s="5">
        <f t="shared" si="3"/>
        <v>4.8600000000000003</v>
      </c>
      <c r="N11" s="5">
        <f t="shared" si="3"/>
        <v>2.4300000000000002</v>
      </c>
      <c r="O11" s="5">
        <f t="shared" si="3"/>
        <v>4.9333333333333336</v>
      </c>
      <c r="P11" s="5">
        <f t="shared" si="4"/>
        <v>1.7320508075688915E-2</v>
      </c>
      <c r="Q11" s="5">
        <f t="shared" si="4"/>
        <v>8.6602540378444576E-3</v>
      </c>
      <c r="R11" s="5">
        <f t="shared" si="4"/>
        <v>5.7735026918966474E-3</v>
      </c>
      <c r="S11" s="5">
        <f t="shared" si="5"/>
        <v>45.916071914150521</v>
      </c>
      <c r="T11" s="5">
        <f t="shared" si="6"/>
        <v>45.916071914150521</v>
      </c>
      <c r="U11" s="5">
        <f t="shared" si="7"/>
        <v>45.444105344713662</v>
      </c>
      <c r="V11" s="5">
        <f t="shared" si="8"/>
        <v>45.758749724338237</v>
      </c>
      <c r="W11" s="5">
        <f t="shared" si="9"/>
        <v>1.2413953899752825E-3</v>
      </c>
      <c r="X11" s="5">
        <f t="shared" si="10"/>
        <v>1.2413953899752825E-3</v>
      </c>
      <c r="Y11" s="5">
        <f t="shared" si="11"/>
        <v>1.2542880879187687E-3</v>
      </c>
      <c r="Z11" s="5">
        <f t="shared" si="12"/>
        <v>1.2456929559564445E-3</v>
      </c>
      <c r="AA11" s="5">
        <f t="shared" si="13"/>
        <v>45.758749724338237</v>
      </c>
      <c r="AB11" s="5">
        <f t="shared" si="14"/>
        <v>1.2456634052149976E-3</v>
      </c>
      <c r="AC11" s="24">
        <f t="shared" si="15"/>
        <v>1245.6634052149975</v>
      </c>
      <c r="AD11" s="26">
        <f t="shared" si="16"/>
        <v>56.212203191416812</v>
      </c>
    </row>
    <row r="12" spans="1:31" x14ac:dyDescent="0.25">
      <c r="A12" s="17" t="s">
        <v>80</v>
      </c>
      <c r="B12" s="17" t="s">
        <v>109</v>
      </c>
      <c r="C12" s="5">
        <v>4.1999999999999997E-3</v>
      </c>
      <c r="D12" s="5">
        <v>2.74</v>
      </c>
      <c r="E12" s="5">
        <f t="shared" si="0"/>
        <v>1.37</v>
      </c>
      <c r="F12" s="5">
        <v>1.0900000000000001</v>
      </c>
      <c r="G12" s="5">
        <v>2.76</v>
      </c>
      <c r="H12" s="5">
        <f t="shared" si="1"/>
        <v>1.38</v>
      </c>
      <c r="I12" s="5">
        <v>1.0900000000000001</v>
      </c>
      <c r="J12" s="5">
        <v>2.77</v>
      </c>
      <c r="K12" s="5">
        <f t="shared" si="2"/>
        <v>1.385</v>
      </c>
      <c r="L12" s="5">
        <v>1.0900000000000001</v>
      </c>
      <c r="M12" s="5">
        <f t="shared" ref="M12:M14" si="17">AVERAGE(D12,G12,J12)</f>
        <v>2.7566666666666664</v>
      </c>
      <c r="N12" s="5">
        <f t="shared" ref="N12:N14" si="18">AVERAGE(E12,H12,K12)</f>
        <v>1.3783333333333332</v>
      </c>
      <c r="O12" s="5">
        <f t="shared" ref="O12:O14" si="19">AVERAGE(F12,I12,L12)</f>
        <v>1.0900000000000001</v>
      </c>
      <c r="P12" s="5">
        <f t="shared" ref="P12:P14" si="20">_xlfn.STDEV.S(D12,G12,J12)</f>
        <v>1.5275252316519335E-2</v>
      </c>
      <c r="Q12" s="5">
        <f t="shared" ref="Q12:Q14" si="21">_xlfn.STDEV.S(E12,H12,K12)</f>
        <v>7.6376261582596673E-3</v>
      </c>
      <c r="R12" s="5">
        <f t="shared" ref="R12:R14" si="22">_xlfn.STDEV.S(F12,I12,L12)</f>
        <v>0</v>
      </c>
      <c r="S12" s="5">
        <f t="shared" ref="S12:S14" si="23">PI()*(E12^2*F12)/2</f>
        <v>3.2135681120798631</v>
      </c>
      <c r="T12" s="5">
        <f t="shared" ref="T12:T14" si="24">PI()*(H12^2*I12)/2</f>
        <v>3.2606527319755392</v>
      </c>
      <c r="U12" s="5">
        <f t="shared" ref="U12:U14" si="25">PI()*((J12/2)*(K12/2))*L12</f>
        <v>3.284323454523093</v>
      </c>
      <c r="V12" s="5">
        <f t="shared" ref="V12:V14" si="26">AVERAGE(S12:U12)</f>
        <v>3.2528480995261653</v>
      </c>
      <c r="W12" s="5">
        <f t="shared" ref="W12:W14" si="27">C12/S12</f>
        <v>1.3069584503941649E-3</v>
      </c>
      <c r="X12" s="5">
        <f t="shared" ref="X12:X14" si="28">C12/T12</f>
        <v>1.2880856519348921E-3</v>
      </c>
      <c r="Y12" s="5">
        <f t="shared" ref="Y12:Y14" si="29">C12/U12</f>
        <v>1.2788021819884574E-3</v>
      </c>
      <c r="Z12" s="5">
        <f t="shared" ref="Z12:Z14" si="30">AVERAGE(W12:Y12)</f>
        <v>1.2912820947725047E-3</v>
      </c>
      <c r="AA12" s="5">
        <f t="shared" ref="AA12:AA14" si="31">V12</f>
        <v>3.2528480995261653</v>
      </c>
      <c r="AB12" s="5">
        <f t="shared" ref="AB12:AB14" si="32">C12/AA12</f>
        <v>1.2911761851442751E-3</v>
      </c>
      <c r="AC12" s="24">
        <f t="shared" ref="AC12:AC14" si="33">AB12*10^6</f>
        <v>1291.1761851442752</v>
      </c>
      <c r="AD12" s="26">
        <f t="shared" si="16"/>
        <v>10.688282892811893</v>
      </c>
    </row>
    <row r="13" spans="1:31" x14ac:dyDescent="0.25">
      <c r="A13" s="17" t="s">
        <v>80</v>
      </c>
      <c r="B13" s="17" t="s">
        <v>110</v>
      </c>
      <c r="C13" s="5">
        <v>4.41E-2</v>
      </c>
      <c r="D13" s="5">
        <v>4.8499999999999996</v>
      </c>
      <c r="E13" s="5">
        <f t="shared" si="0"/>
        <v>2.4249999999999998</v>
      </c>
      <c r="F13" s="5">
        <v>3.87</v>
      </c>
      <c r="G13" s="5">
        <v>4.82</v>
      </c>
      <c r="H13" s="5">
        <f t="shared" si="1"/>
        <v>2.41</v>
      </c>
      <c r="I13" s="5">
        <v>3.85</v>
      </c>
      <c r="J13" s="5">
        <v>4.82</v>
      </c>
      <c r="K13" s="5">
        <f t="shared" si="2"/>
        <v>2.41</v>
      </c>
      <c r="L13" s="5">
        <v>3.85</v>
      </c>
      <c r="M13" s="5">
        <f t="shared" si="17"/>
        <v>4.83</v>
      </c>
      <c r="N13" s="5">
        <f t="shared" si="18"/>
        <v>2.415</v>
      </c>
      <c r="O13" s="5">
        <f t="shared" si="19"/>
        <v>3.8566666666666669</v>
      </c>
      <c r="P13" s="5">
        <f t="shared" si="20"/>
        <v>1.7320508075688402E-2</v>
      </c>
      <c r="Q13" s="5">
        <f t="shared" si="21"/>
        <v>8.6602540378442009E-3</v>
      </c>
      <c r="R13" s="5">
        <f t="shared" si="22"/>
        <v>1.1547005383792526E-2</v>
      </c>
      <c r="S13" s="5">
        <f t="shared" si="23"/>
        <v>35.748212257629383</v>
      </c>
      <c r="T13" s="5">
        <f t="shared" si="24"/>
        <v>35.124867260781144</v>
      </c>
      <c r="U13" s="5">
        <f t="shared" si="25"/>
        <v>35.124867260781144</v>
      </c>
      <c r="V13" s="5">
        <f t="shared" si="26"/>
        <v>35.332648926397219</v>
      </c>
      <c r="W13" s="5">
        <f t="shared" si="27"/>
        <v>1.2336281233361027E-3</v>
      </c>
      <c r="X13" s="5">
        <f t="shared" si="28"/>
        <v>1.2555207589137309E-3</v>
      </c>
      <c r="Y13" s="5">
        <f t="shared" si="29"/>
        <v>1.2555207589137309E-3</v>
      </c>
      <c r="Z13" s="5">
        <f t="shared" si="30"/>
        <v>1.2482232137211882E-3</v>
      </c>
      <c r="AA13" s="5">
        <f t="shared" si="31"/>
        <v>35.332648926397219</v>
      </c>
      <c r="AB13" s="5">
        <f t="shared" si="32"/>
        <v>1.2481373839778155E-3</v>
      </c>
      <c r="AC13" s="24">
        <f t="shared" si="33"/>
        <v>1248.1373839778155</v>
      </c>
      <c r="AD13" s="26">
        <f t="shared" si="16"/>
        <v>47.582797950720028</v>
      </c>
    </row>
    <row r="14" spans="1:31" x14ac:dyDescent="0.25">
      <c r="A14" s="17" t="s">
        <v>80</v>
      </c>
      <c r="B14" s="17" t="s">
        <v>111</v>
      </c>
      <c r="C14" s="5">
        <v>5.9400000000000001E-2</v>
      </c>
      <c r="D14" s="5">
        <v>4.92</v>
      </c>
      <c r="E14" s="5">
        <f t="shared" si="0"/>
        <v>2.46</v>
      </c>
      <c r="F14" s="5">
        <v>5.14</v>
      </c>
      <c r="G14" s="5">
        <v>4.91</v>
      </c>
      <c r="H14" s="5">
        <f t="shared" si="1"/>
        <v>2.4550000000000001</v>
      </c>
      <c r="I14" s="5">
        <v>5.12</v>
      </c>
      <c r="J14" s="5">
        <v>4.84</v>
      </c>
      <c r="K14" s="5">
        <f t="shared" si="2"/>
        <v>2.42</v>
      </c>
      <c r="L14" s="5">
        <v>5.12</v>
      </c>
      <c r="M14" s="5">
        <f t="shared" si="17"/>
        <v>4.8899999999999997</v>
      </c>
      <c r="N14" s="5">
        <f t="shared" si="18"/>
        <v>2.4449999999999998</v>
      </c>
      <c r="O14" s="5">
        <f t="shared" si="19"/>
        <v>5.126666666666666</v>
      </c>
      <c r="P14" s="5">
        <f t="shared" si="20"/>
        <v>4.3588989435406823E-2</v>
      </c>
      <c r="Q14" s="5">
        <f t="shared" si="21"/>
        <v>2.1794494717703412E-2</v>
      </c>
      <c r="R14" s="5">
        <f t="shared" si="22"/>
        <v>1.154700538379227E-2</v>
      </c>
      <c r="S14" s="5">
        <f t="shared" si="23"/>
        <v>48.859971603332454</v>
      </c>
      <c r="T14" s="5">
        <f t="shared" si="24"/>
        <v>48.472211105285183</v>
      </c>
      <c r="U14" s="5">
        <f t="shared" si="25"/>
        <v>47.09996343419715</v>
      </c>
      <c r="V14" s="5">
        <f t="shared" si="26"/>
        <v>48.144048714271598</v>
      </c>
      <c r="W14" s="5">
        <f t="shared" si="27"/>
        <v>1.2157190855990731E-3</v>
      </c>
      <c r="X14" s="5">
        <f t="shared" si="28"/>
        <v>1.2254444071259482E-3</v>
      </c>
      <c r="Y14" s="5">
        <f t="shared" si="29"/>
        <v>1.2611474758995747E-3</v>
      </c>
      <c r="Z14" s="5">
        <f t="shared" si="30"/>
        <v>1.2341036562081985E-3</v>
      </c>
      <c r="AA14" s="5">
        <f t="shared" si="31"/>
        <v>48.144048714271598</v>
      </c>
      <c r="AB14" s="5">
        <f t="shared" si="32"/>
        <v>1.2337973557756006E-3</v>
      </c>
      <c r="AC14" s="24">
        <f t="shared" si="33"/>
        <v>1233.7973557756006</v>
      </c>
      <c r="AD14" s="26">
        <f t="shared" si="16"/>
        <v>58.159440857928089</v>
      </c>
    </row>
  </sheetData>
  <mergeCells count="5">
    <mergeCell ref="D1:F1"/>
    <mergeCell ref="G1:I1"/>
    <mergeCell ref="J1:L1"/>
    <mergeCell ref="M1:O1"/>
    <mergeCell ref="P1:R1"/>
  </mergeCells>
  <phoneticPr fontId="2" type="noConversion"/>
  <conditionalFormatting sqref="AC3:AC14">
    <cfRule type="cellIs" dxfId="2" priority="1" operator="lessThan">
      <formula>1000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AD14"/>
  <sheetViews>
    <sheetView zoomScaleNormal="100" workbookViewId="0">
      <selection activeCell="AC1" sqref="A1:AC2"/>
    </sheetView>
  </sheetViews>
  <sheetFormatPr defaultColWidth="8.7109375" defaultRowHeight="15" x14ac:dyDescent="0.25"/>
  <cols>
    <col min="1" max="1" width="12.42578125" style="78" customWidth="1"/>
    <col min="2" max="2" width="27.28515625" style="78" customWidth="1"/>
    <col min="3" max="3" width="14.7109375" style="78" customWidth="1"/>
    <col min="4" max="4" width="19" style="78" hidden="1" customWidth="1"/>
    <col min="5" max="5" width="18.42578125" style="78" hidden="1" customWidth="1"/>
    <col min="6" max="6" width="19.28515625" style="78" hidden="1" customWidth="1"/>
    <col min="7" max="7" width="17.7109375" style="78" hidden="1" customWidth="1"/>
    <col min="8" max="9" width="14.7109375" style="78" hidden="1" customWidth="1"/>
    <col min="10" max="10" width="17.7109375" style="78" hidden="1" customWidth="1"/>
    <col min="11" max="12" width="14.7109375" style="78" hidden="1" customWidth="1"/>
    <col min="13" max="13" width="16.7109375" style="78" customWidth="1"/>
    <col min="14" max="14" width="19.28515625" style="78" customWidth="1"/>
    <col min="15" max="15" width="18.7109375" style="78" customWidth="1"/>
    <col min="16" max="16" width="15.7109375" style="78" customWidth="1"/>
    <col min="17" max="17" width="16.42578125" style="78" customWidth="1"/>
    <col min="18" max="18" width="18" style="78" customWidth="1"/>
    <col min="19" max="19" width="21.140625" style="78" hidden="1" customWidth="1"/>
    <col min="20" max="20" width="19" style="78" hidden="1" customWidth="1"/>
    <col min="21" max="21" width="19.42578125" style="78" hidden="1" customWidth="1"/>
    <col min="22" max="22" width="25.7109375" style="78" hidden="1" customWidth="1"/>
    <col min="23" max="23" width="24.42578125" style="78" hidden="1" customWidth="1"/>
    <col min="24" max="24" width="25.7109375" style="78" hidden="1" customWidth="1"/>
    <col min="25" max="25" width="24.85546875" style="78" hidden="1" customWidth="1"/>
    <col min="26" max="26" width="29.7109375" style="78" hidden="1" customWidth="1"/>
    <col min="27" max="27" width="26.42578125" style="78" customWidth="1"/>
    <col min="28" max="28" width="22.5703125" style="78" bestFit="1" customWidth="1"/>
    <col min="29" max="29" width="32" style="78" customWidth="1"/>
    <col min="30" max="30" width="38.42578125" style="78" customWidth="1"/>
    <col min="31" max="31" width="12" style="78" bestFit="1" customWidth="1"/>
    <col min="32" max="16384" width="8.7109375" style="78"/>
  </cols>
  <sheetData>
    <row r="1" spans="1:30" x14ac:dyDescent="0.25">
      <c r="A1" s="81"/>
      <c r="B1" s="81"/>
      <c r="C1" s="81"/>
      <c r="D1" s="86" t="s">
        <v>0</v>
      </c>
      <c r="E1" s="86"/>
      <c r="F1" s="86"/>
      <c r="G1" s="86" t="s">
        <v>1</v>
      </c>
      <c r="H1" s="86"/>
      <c r="I1" s="86"/>
      <c r="J1" s="86" t="s">
        <v>2</v>
      </c>
      <c r="K1" s="86"/>
      <c r="L1" s="86"/>
      <c r="M1" s="86" t="s">
        <v>3</v>
      </c>
      <c r="N1" s="86"/>
      <c r="O1" s="86"/>
      <c r="P1" s="86" t="s">
        <v>4</v>
      </c>
      <c r="Q1" s="86"/>
      <c r="R1" s="86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0"/>
    </row>
    <row r="2" spans="1:30" x14ac:dyDescent="0.25">
      <c r="A2" s="81" t="s">
        <v>6</v>
      </c>
      <c r="B2" s="81" t="s">
        <v>7</v>
      </c>
      <c r="C2" s="81" t="s">
        <v>8</v>
      </c>
      <c r="D2" s="81" t="s">
        <v>59</v>
      </c>
      <c r="E2" s="81" t="s">
        <v>60</v>
      </c>
      <c r="F2" s="81" t="s">
        <v>58</v>
      </c>
      <c r="G2" s="81" t="s">
        <v>59</v>
      </c>
      <c r="H2" s="81" t="s">
        <v>60</v>
      </c>
      <c r="I2" s="81" t="s">
        <v>58</v>
      </c>
      <c r="J2" s="81" t="s">
        <v>59</v>
      </c>
      <c r="K2" s="81" t="s">
        <v>60</v>
      </c>
      <c r="L2" s="81" t="s">
        <v>58</v>
      </c>
      <c r="M2" s="81" t="s">
        <v>59</v>
      </c>
      <c r="N2" s="81" t="s">
        <v>60</v>
      </c>
      <c r="O2" s="81" t="s">
        <v>58</v>
      </c>
      <c r="P2" s="81" t="s">
        <v>59</v>
      </c>
      <c r="Q2" s="81" t="s">
        <v>60</v>
      </c>
      <c r="R2" s="81" t="s">
        <v>58</v>
      </c>
      <c r="S2" s="81" t="s">
        <v>14</v>
      </c>
      <c r="T2" s="81" t="s">
        <v>15</v>
      </c>
      <c r="U2" s="81" t="s">
        <v>16</v>
      </c>
      <c r="V2" s="81" t="s">
        <v>17</v>
      </c>
      <c r="W2" s="81" t="s">
        <v>18</v>
      </c>
      <c r="X2" s="81" t="s">
        <v>19</v>
      </c>
      <c r="Y2" s="81" t="s">
        <v>20</v>
      </c>
      <c r="Z2" s="81" t="s">
        <v>21</v>
      </c>
      <c r="AA2" s="81" t="s">
        <v>17</v>
      </c>
      <c r="AB2" s="81" t="s">
        <v>22</v>
      </c>
      <c r="AC2" s="81" t="s">
        <v>23</v>
      </c>
      <c r="AD2" s="81" t="s">
        <v>154</v>
      </c>
    </row>
    <row r="3" spans="1:30" x14ac:dyDescent="0.25">
      <c r="A3" s="82" t="s">
        <v>112</v>
      </c>
      <c r="B3" s="82" t="s">
        <v>61</v>
      </c>
      <c r="C3" s="83">
        <v>1.9400000000000001E-2</v>
      </c>
      <c r="D3" s="84">
        <v>3.16</v>
      </c>
      <c r="E3" s="84">
        <v>2.2000000000000002</v>
      </c>
      <c r="F3" s="84">
        <v>3.36</v>
      </c>
      <c r="G3" s="83">
        <v>3.15</v>
      </c>
      <c r="H3" s="83">
        <v>2.19</v>
      </c>
      <c r="I3" s="83">
        <v>3.29</v>
      </c>
      <c r="J3" s="83">
        <v>3.15</v>
      </c>
      <c r="K3" s="83">
        <v>2.19</v>
      </c>
      <c r="L3" s="83">
        <v>3.3</v>
      </c>
      <c r="M3" s="83">
        <f>AVERAGE(D3,G3,J3)</f>
        <v>3.1533333333333338</v>
      </c>
      <c r="N3" s="83">
        <f>AVERAGE(E3,H3,K3)</f>
        <v>2.1933333333333334</v>
      </c>
      <c r="O3" s="83">
        <f>AVERAGE(F3,I3,L3)</f>
        <v>3.3166666666666664</v>
      </c>
      <c r="P3" s="83">
        <f>_xlfn.STDEV.S(D3,G3,J3)</f>
        <v>5.7735026918963907E-3</v>
      </c>
      <c r="Q3" s="83">
        <f>_xlfn.STDEV.S(E3,H3,K3)</f>
        <v>5.7735026918963907E-3</v>
      </c>
      <c r="R3" s="83">
        <f>_xlfn.STDEV.S(F3,I3,L3)</f>
        <v>3.7859388972001778E-2</v>
      </c>
      <c r="S3" s="83">
        <f>PI()*((D3/2)*(E3/2))*F3</f>
        <v>18.345895787315243</v>
      </c>
      <c r="T3" s="83">
        <f>PI()*((G3/2)*(H3/2))*I3</f>
        <v>17.825447767349107</v>
      </c>
      <c r="U3" s="83">
        <f>PI()*((J3/2)*(K3/2))*L3</f>
        <v>17.87962845965108</v>
      </c>
      <c r="V3" s="83">
        <f>AVERAGE(S3:U3)</f>
        <v>18.016990671438474</v>
      </c>
      <c r="W3" s="83">
        <f>C3/S3</f>
        <v>1.0574572223076503E-3</v>
      </c>
      <c r="X3" s="83">
        <f>C3/T3</f>
        <v>1.0883317071863408E-3</v>
      </c>
      <c r="Y3" s="83">
        <f>C3/U3</f>
        <v>1.0850337323160791E-3</v>
      </c>
      <c r="Z3" s="83">
        <f>AVERAGE(W3:Y3)</f>
        <v>1.0769408872700235E-3</v>
      </c>
      <c r="AA3" s="83">
        <f>V3</f>
        <v>18.016990671438474</v>
      </c>
      <c r="AB3" s="85">
        <f>C3/AA3</f>
        <v>1.0767613944960269E-3</v>
      </c>
      <c r="AC3" s="83">
        <f>AB3*10^6</f>
        <v>1076.7613944960269</v>
      </c>
      <c r="AD3" s="81">
        <f>2*PI()*M3*N3 + PI() * (3*(M3+N3) - SQRT((3*M3 + N3)*(M3 + 3*N3))) * O3</f>
        <v>99.616589198353864</v>
      </c>
    </row>
    <row r="4" spans="1:30" x14ac:dyDescent="0.25">
      <c r="A4" s="82" t="s">
        <v>112</v>
      </c>
      <c r="B4" s="82" t="s">
        <v>62</v>
      </c>
      <c r="C4" s="83">
        <v>2.3699999999999999E-2</v>
      </c>
      <c r="D4" s="84">
        <v>3.65</v>
      </c>
      <c r="E4" s="84">
        <v>2.5099999999999998</v>
      </c>
      <c r="F4" s="84">
        <v>3.26</v>
      </c>
      <c r="G4" s="83">
        <v>3.63</v>
      </c>
      <c r="H4" s="83">
        <v>2.5299999999999998</v>
      </c>
      <c r="I4" s="83">
        <v>3.27</v>
      </c>
      <c r="J4" s="83">
        <v>3.64</v>
      </c>
      <c r="K4" s="83">
        <v>2.5299999999999998</v>
      </c>
      <c r="L4" s="83">
        <v>3.26</v>
      </c>
      <c r="M4" s="83">
        <f t="shared" ref="M4:O13" si="0">AVERAGE(D4,G4,J4)</f>
        <v>3.64</v>
      </c>
      <c r="N4" s="83">
        <f t="shared" si="0"/>
        <v>2.523333333333333</v>
      </c>
      <c r="O4" s="83">
        <f t="shared" si="0"/>
        <v>3.2633333333333332</v>
      </c>
      <c r="P4" s="83">
        <f t="shared" ref="P4:R13" si="1">_xlfn.STDEV.S(D4,G4,J4)</f>
        <v>1.0000000000000009E-2</v>
      </c>
      <c r="Q4" s="83">
        <f t="shared" si="1"/>
        <v>1.1547005383792526E-2</v>
      </c>
      <c r="R4" s="83">
        <f t="shared" si="1"/>
        <v>5.7735026918963907E-3</v>
      </c>
      <c r="S4" s="83">
        <f t="shared" ref="S4:S13" si="2">PI()*((D4/2)*(E4/2))*F4</f>
        <v>23.45708639312825</v>
      </c>
      <c r="T4" s="83">
        <f t="shared" ref="T4:T13" si="3">PI()*((G4/2)*(H4/2))*I4</f>
        <v>23.586569490540448</v>
      </c>
      <c r="U4" s="83">
        <f t="shared" ref="U4:U13" si="4">PI()*((J4/2)*(K4/2))*L4</f>
        <v>23.579217378332881</v>
      </c>
      <c r="V4" s="83">
        <f t="shared" ref="V4:V13" si="5">AVERAGE(S4:U4)</f>
        <v>23.540957754000527</v>
      </c>
      <c r="W4" s="83">
        <f t="shared" ref="W4:W13" si="6">C4/S4</f>
        <v>1.0103556598121627E-3</v>
      </c>
      <c r="X4" s="83">
        <f t="shared" ref="X4:X13" si="7">C4/T4</f>
        <v>1.0048091143353866E-3</v>
      </c>
      <c r="Y4" s="83">
        <f t="shared" ref="Y4:Y13" si="8">C4/U4</f>
        <v>1.0051224185997837E-3</v>
      </c>
      <c r="Z4" s="83">
        <f t="shared" ref="Z4:Z13" si="9">AVERAGE(W4:Y4)</f>
        <v>1.0067623975824442E-3</v>
      </c>
      <c r="AA4" s="83">
        <f t="shared" ref="AA4:AA13" si="10">V4</f>
        <v>23.540957754000527</v>
      </c>
      <c r="AB4" s="85">
        <f t="shared" ref="AB4:AB13" si="11">C4/AA4</f>
        <v>1.0067559802647557E-3</v>
      </c>
      <c r="AC4" s="83">
        <f t="shared" ref="AC4:AC13" si="12">AB4*10^6</f>
        <v>1006.7559802647556</v>
      </c>
      <c r="AD4" s="81">
        <f t="shared" ref="AD4:AD13" si="13">2*PI()*M4*N4 + PI() * (3*(M4+N4) - SQRT((3*M4 + N4)*(M4 + 3*N4))) * O4</f>
        <v>121.41713494984731</v>
      </c>
    </row>
    <row r="5" spans="1:30" x14ac:dyDescent="0.25">
      <c r="A5" s="82" t="s">
        <v>112</v>
      </c>
      <c r="B5" s="82" t="s">
        <v>63</v>
      </c>
      <c r="C5" s="83">
        <v>2.01E-2</v>
      </c>
      <c r="D5" s="83">
        <v>3.24</v>
      </c>
      <c r="E5" s="83">
        <v>2.29</v>
      </c>
      <c r="F5" s="83">
        <v>3.33</v>
      </c>
      <c r="G5" s="83">
        <v>3.22</v>
      </c>
      <c r="H5" s="83">
        <v>2.27</v>
      </c>
      <c r="I5" s="83">
        <v>3.32</v>
      </c>
      <c r="J5" s="83">
        <v>3.23</v>
      </c>
      <c r="K5" s="83">
        <v>2.27</v>
      </c>
      <c r="L5" s="83">
        <v>3.31</v>
      </c>
      <c r="M5" s="83">
        <f t="shared" si="0"/>
        <v>3.2300000000000004</v>
      </c>
      <c r="N5" s="83">
        <f t="shared" si="0"/>
        <v>2.2766666666666668</v>
      </c>
      <c r="O5" s="83">
        <f t="shared" si="0"/>
        <v>3.3200000000000003</v>
      </c>
      <c r="P5" s="83">
        <f t="shared" si="1"/>
        <v>1.0000000000000009E-2</v>
      </c>
      <c r="Q5" s="83">
        <f t="shared" si="1"/>
        <v>1.1547005383792526E-2</v>
      </c>
      <c r="R5" s="83">
        <f t="shared" si="1"/>
        <v>1.0000000000000009E-2</v>
      </c>
      <c r="S5" s="83">
        <f t="shared" si="2"/>
        <v>19.405042909768547</v>
      </c>
      <c r="T5" s="83">
        <f t="shared" si="3"/>
        <v>19.059420593983862</v>
      </c>
      <c r="U5" s="83">
        <f t="shared" si="4"/>
        <v>19.061025162431683</v>
      </c>
      <c r="V5" s="83">
        <f t="shared" si="5"/>
        <v>19.175162888728032</v>
      </c>
      <c r="W5" s="83">
        <f t="shared" si="6"/>
        <v>1.0358132209994553E-3</v>
      </c>
      <c r="X5" s="83">
        <f t="shared" si="7"/>
        <v>1.0545965917948524E-3</v>
      </c>
      <c r="Y5" s="83">
        <f t="shared" si="8"/>
        <v>1.0545078152258086E-3</v>
      </c>
      <c r="Z5" s="83">
        <f t="shared" si="9"/>
        <v>1.0483058760067056E-3</v>
      </c>
      <c r="AA5" s="83">
        <f t="shared" si="10"/>
        <v>19.175162888728032</v>
      </c>
      <c r="AB5" s="85">
        <f t="shared" si="11"/>
        <v>1.0482309911336203E-3</v>
      </c>
      <c r="AC5" s="83">
        <f t="shared" si="12"/>
        <v>1048.2309911336204</v>
      </c>
      <c r="AD5" s="81">
        <f t="shared" si="13"/>
        <v>104.07042274331695</v>
      </c>
    </row>
    <row r="6" spans="1:30" x14ac:dyDescent="0.25">
      <c r="A6" s="82" t="s">
        <v>112</v>
      </c>
      <c r="B6" s="82" t="s">
        <v>64</v>
      </c>
      <c r="C6" s="83">
        <v>1.8800000000000001E-2</v>
      </c>
      <c r="D6" s="84">
        <v>3.03</v>
      </c>
      <c r="E6" s="84">
        <v>2.17</v>
      </c>
      <c r="F6" s="84">
        <v>3.44</v>
      </c>
      <c r="G6" s="83">
        <v>3.05</v>
      </c>
      <c r="H6" s="83">
        <v>2.17</v>
      </c>
      <c r="I6" s="83">
        <v>3.45</v>
      </c>
      <c r="J6" s="83">
        <v>3.06</v>
      </c>
      <c r="K6" s="83">
        <v>2.17</v>
      </c>
      <c r="L6" s="83">
        <v>3.45</v>
      </c>
      <c r="M6" s="83">
        <f t="shared" si="0"/>
        <v>3.0466666666666669</v>
      </c>
      <c r="N6" s="83">
        <f t="shared" si="0"/>
        <v>2.17</v>
      </c>
      <c r="O6" s="83">
        <f t="shared" si="0"/>
        <v>3.4466666666666668</v>
      </c>
      <c r="P6" s="83">
        <f t="shared" si="1"/>
        <v>1.5275252316519577E-2</v>
      </c>
      <c r="Q6" s="83">
        <f t="shared" si="1"/>
        <v>0</v>
      </c>
      <c r="R6" s="83">
        <f t="shared" si="1"/>
        <v>5.7735026918963907E-3</v>
      </c>
      <c r="S6" s="83">
        <f t="shared" si="2"/>
        <v>17.764405836691694</v>
      </c>
      <c r="T6" s="83">
        <f t="shared" si="3"/>
        <v>17.933644218338738</v>
      </c>
      <c r="U6" s="83">
        <f t="shared" si="4"/>
        <v>17.992443051841491</v>
      </c>
      <c r="V6" s="83">
        <f t="shared" si="5"/>
        <v>17.896831035623975</v>
      </c>
      <c r="W6" s="83">
        <f t="shared" si="6"/>
        <v>1.0582960203019752E-3</v>
      </c>
      <c r="X6" s="83">
        <f t="shared" si="7"/>
        <v>1.0483089644867235E-3</v>
      </c>
      <c r="Y6" s="83">
        <f t="shared" si="8"/>
        <v>1.0448831181975511E-3</v>
      </c>
      <c r="Z6" s="83">
        <f t="shared" si="9"/>
        <v>1.0504960343287499E-3</v>
      </c>
      <c r="AA6" s="83">
        <f t="shared" si="10"/>
        <v>17.896831035623975</v>
      </c>
      <c r="AB6" s="85">
        <f t="shared" si="11"/>
        <v>1.050465300956256E-3</v>
      </c>
      <c r="AC6" s="83">
        <f t="shared" si="12"/>
        <v>1050.465300956256</v>
      </c>
      <c r="AD6" s="81">
        <f t="shared" si="13"/>
        <v>98.425514088479929</v>
      </c>
    </row>
    <row r="7" spans="1:30" x14ac:dyDescent="0.25">
      <c r="A7" s="82" t="s">
        <v>112</v>
      </c>
      <c r="B7" s="82" t="s">
        <v>65</v>
      </c>
      <c r="C7" s="83">
        <v>1.9800000000000002E-2</v>
      </c>
      <c r="D7" s="83">
        <v>3.18</v>
      </c>
      <c r="E7" s="83">
        <v>2.3199999999999998</v>
      </c>
      <c r="F7" s="83">
        <v>3.31</v>
      </c>
      <c r="G7" s="83">
        <v>3.18</v>
      </c>
      <c r="H7" s="83">
        <v>2.31</v>
      </c>
      <c r="I7" s="83">
        <v>3.27</v>
      </c>
      <c r="J7" s="83">
        <v>3.18</v>
      </c>
      <c r="K7" s="83">
        <v>2.33</v>
      </c>
      <c r="L7" s="83">
        <v>3.3</v>
      </c>
      <c r="M7" s="83">
        <f t="shared" si="0"/>
        <v>3.18</v>
      </c>
      <c r="N7" s="83">
        <f t="shared" si="0"/>
        <v>2.3199999999999998</v>
      </c>
      <c r="O7" s="83">
        <f t="shared" si="0"/>
        <v>3.293333333333333</v>
      </c>
      <c r="P7" s="83">
        <f t="shared" si="1"/>
        <v>0</v>
      </c>
      <c r="Q7" s="83">
        <f t="shared" si="1"/>
        <v>1.0000000000000009E-2</v>
      </c>
      <c r="R7" s="83">
        <f t="shared" si="1"/>
        <v>2.0816659994661309E-2</v>
      </c>
      <c r="S7" s="83">
        <f t="shared" si="2"/>
        <v>19.179310052830161</v>
      </c>
      <c r="T7" s="83">
        <f t="shared" si="3"/>
        <v>18.865865499799874</v>
      </c>
      <c r="U7" s="83">
        <f t="shared" si="4"/>
        <v>19.203786201194276</v>
      </c>
      <c r="V7" s="83">
        <f t="shared" si="5"/>
        <v>19.082987251274769</v>
      </c>
      <c r="W7" s="83">
        <f t="shared" si="6"/>
        <v>1.0323624752642366E-3</v>
      </c>
      <c r="X7" s="83">
        <f t="shared" si="7"/>
        <v>1.0495145319577327E-3</v>
      </c>
      <c r="Y7" s="83">
        <f t="shared" si="8"/>
        <v>1.0310466796786483E-3</v>
      </c>
      <c r="Z7" s="83">
        <f t="shared" si="9"/>
        <v>1.0376412289668725E-3</v>
      </c>
      <c r="AA7" s="83">
        <f t="shared" si="10"/>
        <v>19.082987251274769</v>
      </c>
      <c r="AB7" s="85">
        <f t="shared" si="11"/>
        <v>1.0375734018622967E-3</v>
      </c>
      <c r="AC7" s="83">
        <f t="shared" si="12"/>
        <v>1037.5734018622966</v>
      </c>
      <c r="AD7" s="81">
        <f t="shared" si="13"/>
        <v>103.60790018619829</v>
      </c>
    </row>
    <row r="8" spans="1:30" x14ac:dyDescent="0.25">
      <c r="A8" s="82" t="s">
        <v>112</v>
      </c>
      <c r="B8" s="82" t="s">
        <v>66</v>
      </c>
      <c r="C8" s="83">
        <v>1.7299999999999999E-2</v>
      </c>
      <c r="D8" s="84">
        <v>3.02</v>
      </c>
      <c r="E8" s="84">
        <v>2.16</v>
      </c>
      <c r="F8" s="84">
        <v>3.39</v>
      </c>
      <c r="G8" s="83">
        <v>3.02</v>
      </c>
      <c r="H8" s="83">
        <v>2.17</v>
      </c>
      <c r="I8" s="83">
        <v>3.39</v>
      </c>
      <c r="J8" s="83">
        <v>3.02</v>
      </c>
      <c r="K8" s="83">
        <v>2.16</v>
      </c>
      <c r="L8" s="83">
        <v>3.39</v>
      </c>
      <c r="M8" s="83">
        <f t="shared" si="0"/>
        <v>3.02</v>
      </c>
      <c r="N8" s="83">
        <f t="shared" si="0"/>
        <v>2.1633333333333336</v>
      </c>
      <c r="O8" s="83">
        <f t="shared" si="0"/>
        <v>3.39</v>
      </c>
      <c r="P8" s="83">
        <f t="shared" si="1"/>
        <v>0</v>
      </c>
      <c r="Q8" s="83">
        <f t="shared" si="1"/>
        <v>5.7735026918961348E-3</v>
      </c>
      <c r="R8" s="83">
        <f t="shared" si="1"/>
        <v>0</v>
      </c>
      <c r="S8" s="83">
        <f t="shared" si="2"/>
        <v>17.368018525217657</v>
      </c>
      <c r="T8" s="83">
        <f t="shared" si="3"/>
        <v>17.448426018389959</v>
      </c>
      <c r="U8" s="83">
        <f t="shared" si="4"/>
        <v>17.368018525217657</v>
      </c>
      <c r="V8" s="83">
        <f t="shared" si="5"/>
        <v>17.394821022941759</v>
      </c>
      <c r="W8" s="83">
        <f t="shared" si="6"/>
        <v>9.9608369111773469E-4</v>
      </c>
      <c r="X8" s="83">
        <f t="shared" si="7"/>
        <v>9.9149344369322905E-4</v>
      </c>
      <c r="Y8" s="83">
        <f t="shared" si="8"/>
        <v>9.9608369111773469E-4</v>
      </c>
      <c r="Z8" s="83">
        <f t="shared" si="9"/>
        <v>9.9455360864289933E-4</v>
      </c>
      <c r="AA8" s="83">
        <f t="shared" si="10"/>
        <v>17.394821022941759</v>
      </c>
      <c r="AB8" s="85">
        <f t="shared" si="11"/>
        <v>9.9454889344266885E-4</v>
      </c>
      <c r="AC8" s="83">
        <f t="shared" si="12"/>
        <v>994.54889344266883</v>
      </c>
      <c r="AD8" s="81">
        <f t="shared" si="13"/>
        <v>96.629833941413636</v>
      </c>
    </row>
    <row r="9" spans="1:30" x14ac:dyDescent="0.25">
      <c r="A9" s="82" t="s">
        <v>112</v>
      </c>
      <c r="B9" s="82" t="s">
        <v>67</v>
      </c>
      <c r="C9" s="83">
        <v>2.0500000000000001E-2</v>
      </c>
      <c r="D9" s="83">
        <v>3.18</v>
      </c>
      <c r="E9" s="83">
        <v>2.2799999999999998</v>
      </c>
      <c r="F9" s="83">
        <v>3.24</v>
      </c>
      <c r="G9" s="83">
        <v>3.18</v>
      </c>
      <c r="H9" s="83">
        <v>2.2799999999999998</v>
      </c>
      <c r="I9" s="83">
        <v>3.28</v>
      </c>
      <c r="J9" s="83">
        <v>3.17</v>
      </c>
      <c r="K9" s="83">
        <v>2.2799999999999998</v>
      </c>
      <c r="L9" s="83">
        <v>3.28</v>
      </c>
      <c r="M9" s="83">
        <f t="shared" si="0"/>
        <v>3.1766666666666672</v>
      </c>
      <c r="N9" s="83">
        <f t="shared" si="0"/>
        <v>2.2799999999999998</v>
      </c>
      <c r="O9" s="83">
        <f t="shared" si="0"/>
        <v>3.2666666666666662</v>
      </c>
      <c r="P9" s="83">
        <f t="shared" si="1"/>
        <v>5.7735026918963907E-3</v>
      </c>
      <c r="Q9" s="83">
        <f t="shared" si="1"/>
        <v>0</v>
      </c>
      <c r="R9" s="83">
        <f t="shared" si="1"/>
        <v>2.3094010767584792E-2</v>
      </c>
      <c r="S9" s="83">
        <f t="shared" si="2"/>
        <v>18.450020734225824</v>
      </c>
      <c r="T9" s="83">
        <f t="shared" si="3"/>
        <v>18.677798767981695</v>
      </c>
      <c r="U9" s="83">
        <f t="shared" si="4"/>
        <v>18.619063551730179</v>
      </c>
      <c r="V9" s="83">
        <f t="shared" si="5"/>
        <v>18.582294351312566</v>
      </c>
      <c r="W9" s="83">
        <f t="shared" si="6"/>
        <v>1.1111098624388726E-3</v>
      </c>
      <c r="X9" s="83">
        <f t="shared" si="7"/>
        <v>1.0975597421652278E-3</v>
      </c>
      <c r="Y9" s="83">
        <f t="shared" si="8"/>
        <v>1.1010220757367271E-3</v>
      </c>
      <c r="Z9" s="83">
        <f t="shared" si="9"/>
        <v>1.1032305601136091E-3</v>
      </c>
      <c r="AA9" s="83">
        <f t="shared" si="10"/>
        <v>18.582294351312566</v>
      </c>
      <c r="AB9" s="85">
        <f t="shared" si="11"/>
        <v>1.1032006926826007E-3</v>
      </c>
      <c r="AC9" s="83">
        <f t="shared" si="12"/>
        <v>1103.2006926826007</v>
      </c>
      <c r="AD9" s="81">
        <f t="shared" si="13"/>
        <v>101.88576548068446</v>
      </c>
    </row>
    <row r="10" spans="1:30" x14ac:dyDescent="0.25">
      <c r="A10" s="82" t="s">
        <v>112</v>
      </c>
      <c r="B10" s="82" t="s">
        <v>68</v>
      </c>
      <c r="C10" s="83">
        <v>1.9699999999999999E-2</v>
      </c>
      <c r="D10" s="83">
        <v>3.14</v>
      </c>
      <c r="E10" s="83">
        <v>2.2000000000000002</v>
      </c>
      <c r="F10" s="83">
        <v>3.32</v>
      </c>
      <c r="G10" s="83">
        <v>3.16</v>
      </c>
      <c r="H10" s="83">
        <v>2.2000000000000002</v>
      </c>
      <c r="I10" s="83">
        <v>3.31</v>
      </c>
      <c r="J10" s="83">
        <v>3.17</v>
      </c>
      <c r="K10" s="83">
        <v>2.2000000000000002</v>
      </c>
      <c r="L10" s="83">
        <v>3.34</v>
      </c>
      <c r="M10" s="83">
        <f t="shared" si="0"/>
        <v>3.1566666666666667</v>
      </c>
      <c r="N10" s="83">
        <f t="shared" si="0"/>
        <v>2.2000000000000002</v>
      </c>
      <c r="O10" s="83">
        <f t="shared" si="0"/>
        <v>3.3233333333333328</v>
      </c>
      <c r="P10" s="83">
        <f t="shared" si="1"/>
        <v>1.5275252316519385E-2</v>
      </c>
      <c r="Q10" s="83">
        <f t="shared" si="1"/>
        <v>0</v>
      </c>
      <c r="R10" s="83">
        <f t="shared" si="1"/>
        <v>1.5275252316519383E-2</v>
      </c>
      <c r="S10" s="83">
        <f t="shared" si="2"/>
        <v>18.012761302328585</v>
      </c>
      <c r="T10" s="83">
        <f t="shared" si="3"/>
        <v>18.072891385718293</v>
      </c>
      <c r="U10" s="83">
        <f t="shared" si="4"/>
        <v>18.294405083722907</v>
      </c>
      <c r="V10" s="83">
        <f t="shared" si="5"/>
        <v>18.126685923923262</v>
      </c>
      <c r="W10" s="83">
        <f t="shared" si="6"/>
        <v>1.0936690754600349E-3</v>
      </c>
      <c r="X10" s="83">
        <f t="shared" si="7"/>
        <v>1.0900303432115734E-3</v>
      </c>
      <c r="Y10" s="83">
        <f t="shared" si="8"/>
        <v>1.0768319554445469E-3</v>
      </c>
      <c r="Z10" s="83">
        <f t="shared" si="9"/>
        <v>1.0868437913720518E-3</v>
      </c>
      <c r="AA10" s="83">
        <f t="shared" si="10"/>
        <v>18.126685923923262</v>
      </c>
      <c r="AB10" s="85">
        <f t="shared" si="11"/>
        <v>1.0867954618224121E-3</v>
      </c>
      <c r="AC10" s="83">
        <f t="shared" si="12"/>
        <v>1086.7954618224121</v>
      </c>
      <c r="AD10" s="81">
        <f t="shared" si="13"/>
        <v>100.00807203311484</v>
      </c>
    </row>
    <row r="11" spans="1:30" x14ac:dyDescent="0.25">
      <c r="A11" s="82" t="s">
        <v>112</v>
      </c>
      <c r="B11" s="82" t="s">
        <v>69</v>
      </c>
      <c r="C11" s="83">
        <v>2.1100000000000001E-2</v>
      </c>
      <c r="D11" s="83">
        <v>3.25</v>
      </c>
      <c r="E11" s="83">
        <v>2.3199999999999998</v>
      </c>
      <c r="F11" s="83">
        <v>3.34</v>
      </c>
      <c r="G11" s="83">
        <v>3.26</v>
      </c>
      <c r="H11" s="83">
        <v>2.3199999999999998</v>
      </c>
      <c r="I11" s="83">
        <v>3.32</v>
      </c>
      <c r="J11" s="83">
        <v>3.25</v>
      </c>
      <c r="K11" s="83">
        <v>2.3199999999999998</v>
      </c>
      <c r="L11" s="83">
        <v>3.36</v>
      </c>
      <c r="M11" s="83">
        <f t="shared" si="0"/>
        <v>3.2533333333333334</v>
      </c>
      <c r="N11" s="83">
        <f t="shared" si="0"/>
        <v>2.3199999999999998</v>
      </c>
      <c r="O11" s="83">
        <f t="shared" si="0"/>
        <v>3.34</v>
      </c>
      <c r="P11" s="83">
        <f t="shared" si="1"/>
        <v>5.7735026918961348E-3</v>
      </c>
      <c r="Q11" s="83">
        <f t="shared" si="1"/>
        <v>0</v>
      </c>
      <c r="R11" s="83">
        <f t="shared" si="1"/>
        <v>2.0000000000000018E-2</v>
      </c>
      <c r="S11" s="83">
        <f t="shared" si="2"/>
        <v>19.779153187735975</v>
      </c>
      <c r="T11" s="83">
        <f t="shared" si="3"/>
        <v>19.721209652833167</v>
      </c>
      <c r="U11" s="83">
        <f t="shared" si="4"/>
        <v>19.89759123077631</v>
      </c>
      <c r="V11" s="83">
        <f t="shared" si="5"/>
        <v>19.799318023781819</v>
      </c>
      <c r="W11" s="83">
        <f t="shared" si="6"/>
        <v>1.0667797453069435E-3</v>
      </c>
      <c r="X11" s="83">
        <f t="shared" si="7"/>
        <v>1.0699140859733599E-3</v>
      </c>
      <c r="Y11" s="83">
        <f t="shared" si="8"/>
        <v>1.0604298658705926E-3</v>
      </c>
      <c r="Z11" s="83">
        <f t="shared" si="9"/>
        <v>1.0657078990502988E-3</v>
      </c>
      <c r="AA11" s="83">
        <f t="shared" si="10"/>
        <v>19.799318023781819</v>
      </c>
      <c r="AB11" s="85">
        <f t="shared" si="11"/>
        <v>1.0656932715892476E-3</v>
      </c>
      <c r="AC11" s="83">
        <f t="shared" si="12"/>
        <v>1065.6932715892476</v>
      </c>
      <c r="AD11" s="81">
        <f t="shared" si="13"/>
        <v>106.31507658119241</v>
      </c>
    </row>
    <row r="12" spans="1:30" x14ac:dyDescent="0.25">
      <c r="A12" s="82" t="s">
        <v>112</v>
      </c>
      <c r="B12" s="82" t="s">
        <v>113</v>
      </c>
      <c r="C12" s="83">
        <v>2.3599999999999999E-2</v>
      </c>
      <c r="D12" s="84">
        <v>3.65</v>
      </c>
      <c r="E12" s="84">
        <v>2.52</v>
      </c>
      <c r="F12" s="84">
        <v>3.21</v>
      </c>
      <c r="G12" s="83">
        <v>3.63</v>
      </c>
      <c r="H12" s="83">
        <v>2.5299999999999998</v>
      </c>
      <c r="I12" s="83">
        <v>3.2</v>
      </c>
      <c r="J12" s="83">
        <v>3.66</v>
      </c>
      <c r="K12" s="83">
        <v>2.5299999999999998</v>
      </c>
      <c r="L12" s="83">
        <v>3.19</v>
      </c>
      <c r="M12" s="83">
        <f t="shared" si="0"/>
        <v>3.6466666666666665</v>
      </c>
      <c r="N12" s="83">
        <f t="shared" si="0"/>
        <v>2.5266666666666668</v>
      </c>
      <c r="O12" s="83">
        <f t="shared" si="0"/>
        <v>3.1999999999999997</v>
      </c>
      <c r="P12" s="83">
        <f t="shared" si="1"/>
        <v>1.5275252316519579E-2</v>
      </c>
      <c r="Q12" s="83">
        <f t="shared" si="1"/>
        <v>5.7735026918961348E-3</v>
      </c>
      <c r="R12" s="83">
        <f t="shared" si="1"/>
        <v>1.0000000000000009E-2</v>
      </c>
      <c r="S12" s="83">
        <f t="shared" si="2"/>
        <v>23.189336305244431</v>
      </c>
      <c r="T12" s="83">
        <f t="shared" si="3"/>
        <v>23.081658217042641</v>
      </c>
      <c r="U12" s="83">
        <f t="shared" si="4"/>
        <v>23.199689423834336</v>
      </c>
      <c r="V12" s="83">
        <f t="shared" si="5"/>
        <v>23.156894648707134</v>
      </c>
      <c r="W12" s="83">
        <f t="shared" si="6"/>
        <v>1.0177091612002147E-3</v>
      </c>
      <c r="X12" s="83">
        <f t="shared" si="7"/>
        <v>1.0224568693498214E-3</v>
      </c>
      <c r="Y12" s="83">
        <f t="shared" si="8"/>
        <v>1.017254997205023E-3</v>
      </c>
      <c r="Z12" s="83">
        <f t="shared" si="9"/>
        <v>1.0191403425850196E-3</v>
      </c>
      <c r="AA12" s="83">
        <f t="shared" si="10"/>
        <v>23.156894648707134</v>
      </c>
      <c r="AB12" s="85">
        <f t="shared" si="11"/>
        <v>1.0191349210684258E-3</v>
      </c>
      <c r="AC12" s="83">
        <f t="shared" si="12"/>
        <v>1019.1349210684258</v>
      </c>
      <c r="AD12" s="81">
        <f t="shared" si="13"/>
        <v>120.46557013944167</v>
      </c>
    </row>
    <row r="13" spans="1:30" x14ac:dyDescent="0.25">
      <c r="A13" s="82" t="s">
        <v>112</v>
      </c>
      <c r="B13" s="82" t="s">
        <v>114</v>
      </c>
      <c r="C13" s="83">
        <v>1.9E-2</v>
      </c>
      <c r="D13" s="84">
        <v>3</v>
      </c>
      <c r="E13" s="84">
        <v>2.12</v>
      </c>
      <c r="F13" s="84">
        <v>3.7</v>
      </c>
      <c r="G13" s="83">
        <v>2.99</v>
      </c>
      <c r="H13" s="83">
        <v>2.12</v>
      </c>
      <c r="I13" s="83">
        <v>3.71</v>
      </c>
      <c r="J13" s="83">
        <v>2.99</v>
      </c>
      <c r="K13" s="83">
        <v>2.12</v>
      </c>
      <c r="L13" s="83">
        <v>3.71</v>
      </c>
      <c r="M13" s="83">
        <f t="shared" si="0"/>
        <v>2.9933333333333336</v>
      </c>
      <c r="N13" s="83">
        <f t="shared" si="0"/>
        <v>2.12</v>
      </c>
      <c r="O13" s="83">
        <f t="shared" si="0"/>
        <v>3.706666666666667</v>
      </c>
      <c r="P13" s="83">
        <f t="shared" si="1"/>
        <v>5.7735026918961348E-3</v>
      </c>
      <c r="Q13" s="83">
        <f t="shared" si="1"/>
        <v>0</v>
      </c>
      <c r="R13" s="83">
        <f t="shared" si="1"/>
        <v>5.7735026918961348E-3</v>
      </c>
      <c r="S13" s="83">
        <f t="shared" si="2"/>
        <v>18.481989581068753</v>
      </c>
      <c r="T13" s="83">
        <f t="shared" si="3"/>
        <v>18.470167767913296</v>
      </c>
      <c r="U13" s="83">
        <f t="shared" si="4"/>
        <v>18.470167767913296</v>
      </c>
      <c r="V13" s="83">
        <f t="shared" si="5"/>
        <v>18.474108372298449</v>
      </c>
      <c r="W13" s="83">
        <f t="shared" si="6"/>
        <v>1.0280278493102197E-3</v>
      </c>
      <c r="X13" s="83">
        <f t="shared" si="7"/>
        <v>1.0286858375486516E-3</v>
      </c>
      <c r="Y13" s="83">
        <f t="shared" si="8"/>
        <v>1.0286858375486516E-3</v>
      </c>
      <c r="Z13" s="83">
        <f t="shared" si="9"/>
        <v>1.0284665081358409E-3</v>
      </c>
      <c r="AA13" s="83">
        <f t="shared" si="10"/>
        <v>18.474108372298449</v>
      </c>
      <c r="AB13" s="85">
        <f t="shared" si="11"/>
        <v>1.0284664145680834E-3</v>
      </c>
      <c r="AC13" s="83">
        <f t="shared" si="12"/>
        <v>1028.4664145680833</v>
      </c>
      <c r="AD13" s="81">
        <f t="shared" si="13"/>
        <v>99.851222372510364</v>
      </c>
    </row>
    <row r="14" spans="1:30" x14ac:dyDescent="0.25">
      <c r="C14" s="79"/>
    </row>
  </sheetData>
  <mergeCells count="5">
    <mergeCell ref="D1:F1"/>
    <mergeCell ref="G1:I1"/>
    <mergeCell ref="J1:L1"/>
    <mergeCell ref="M1:O1"/>
    <mergeCell ref="P1:R1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2"/>
  <sheetViews>
    <sheetView workbookViewId="0">
      <selection activeCell="D22" sqref="D22"/>
    </sheetView>
  </sheetViews>
  <sheetFormatPr defaultColWidth="8.7109375" defaultRowHeight="15" x14ac:dyDescent="0.25"/>
  <cols>
    <col min="1" max="1" width="15.140625" style="16" customWidth="1"/>
    <col min="2" max="2" width="19.85546875" style="16" bestFit="1" customWidth="1"/>
    <col min="3" max="3" width="14.28515625" style="16" bestFit="1" customWidth="1"/>
    <col min="4" max="4" width="22" style="16" bestFit="1" customWidth="1"/>
    <col min="5" max="5" width="25.42578125" style="16" bestFit="1" customWidth="1"/>
    <col min="6" max="6" width="22.42578125" style="16" customWidth="1"/>
    <col min="7" max="7" width="38.42578125" customWidth="1"/>
    <col min="8" max="8" width="12" bestFit="1" customWidth="1"/>
  </cols>
  <sheetData>
    <row r="1" spans="1:8" x14ac:dyDescent="0.25">
      <c r="A1" s="13"/>
      <c r="B1" s="13"/>
      <c r="C1" s="13"/>
      <c r="D1" s="13"/>
      <c r="E1" s="13"/>
      <c r="F1" s="13"/>
    </row>
    <row r="2" spans="1:8" ht="18.75" x14ac:dyDescent="0.3">
      <c r="A2" s="13" t="s">
        <v>6</v>
      </c>
      <c r="B2" s="13" t="s">
        <v>7</v>
      </c>
      <c r="C2" s="13" t="s">
        <v>8</v>
      </c>
      <c r="D2" s="14" t="s">
        <v>14</v>
      </c>
      <c r="E2" s="14" t="s">
        <v>18</v>
      </c>
      <c r="F2" s="14" t="s">
        <v>23</v>
      </c>
      <c r="G2" s="14" t="s">
        <v>154</v>
      </c>
      <c r="H2" s="15"/>
    </row>
    <row r="3" spans="1:8" x14ac:dyDescent="0.25">
      <c r="A3" s="27" t="s">
        <v>130</v>
      </c>
      <c r="B3" s="28" t="s">
        <v>117</v>
      </c>
      <c r="C3" s="28">
        <v>0.91739999999999999</v>
      </c>
      <c r="D3" s="28">
        <f>9.17*9.18*9.4</f>
        <v>791.29764</v>
      </c>
      <c r="E3" s="28">
        <f t="shared" ref="E3:E29" si="0">C3/D3</f>
        <v>1.1593614761697003E-3</v>
      </c>
      <c r="F3" s="28">
        <f t="shared" ref="F3:F29" si="1">E3*10^6</f>
        <v>1159.3614761697004</v>
      </c>
      <c r="G3" s="29">
        <f>6*9.17^2</f>
        <v>504.53339999999997</v>
      </c>
    </row>
    <row r="4" spans="1:8" x14ac:dyDescent="0.25">
      <c r="A4" s="27" t="s">
        <v>130</v>
      </c>
      <c r="B4" s="28" t="s">
        <v>118</v>
      </c>
      <c r="C4" s="28">
        <v>0.91239999999999999</v>
      </c>
      <c r="D4" s="28">
        <f t="shared" ref="D4:D7" si="2">9.17*9.18*9.4</f>
        <v>791.29764</v>
      </c>
      <c r="E4" s="28">
        <f t="shared" si="0"/>
        <v>1.1530427412875892E-3</v>
      </c>
      <c r="F4" s="28">
        <f t="shared" si="1"/>
        <v>1153.0427412875893</v>
      </c>
      <c r="G4" s="29">
        <f t="shared" ref="G4:G7" si="3">6*9.17^2</f>
        <v>504.53339999999997</v>
      </c>
    </row>
    <row r="5" spans="1:8" x14ac:dyDescent="0.25">
      <c r="A5" s="27" t="s">
        <v>130</v>
      </c>
      <c r="B5" s="28" t="s">
        <v>119</v>
      </c>
      <c r="C5" s="28">
        <v>0.91020000000000001</v>
      </c>
      <c r="D5" s="28">
        <f t="shared" si="2"/>
        <v>791.29764</v>
      </c>
      <c r="E5" s="28">
        <f t="shared" si="0"/>
        <v>1.1502624979394605E-3</v>
      </c>
      <c r="F5" s="28">
        <f t="shared" si="1"/>
        <v>1150.2624979394604</v>
      </c>
      <c r="G5" s="29">
        <f t="shared" si="3"/>
        <v>504.53339999999997</v>
      </c>
    </row>
    <row r="6" spans="1:8" x14ac:dyDescent="0.25">
      <c r="A6" s="27" t="s">
        <v>130</v>
      </c>
      <c r="B6" s="28" t="s">
        <v>120</v>
      </c>
      <c r="C6" s="28">
        <v>0.92020000000000002</v>
      </c>
      <c r="D6" s="28">
        <f t="shared" si="2"/>
        <v>791.29764</v>
      </c>
      <c r="E6" s="28">
        <f t="shared" si="0"/>
        <v>1.1628999677036824E-3</v>
      </c>
      <c r="F6" s="28">
        <f t="shared" si="1"/>
        <v>1162.8999677036825</v>
      </c>
      <c r="G6" s="29">
        <f t="shared" si="3"/>
        <v>504.53339999999997</v>
      </c>
    </row>
    <row r="7" spans="1:8" x14ac:dyDescent="0.25">
      <c r="A7" s="27" t="s">
        <v>130</v>
      </c>
      <c r="B7" s="28" t="s">
        <v>121</v>
      </c>
      <c r="C7" s="28">
        <v>0.91900000000000004</v>
      </c>
      <c r="D7" s="28">
        <f t="shared" si="2"/>
        <v>791.29764</v>
      </c>
      <c r="E7" s="28">
        <f t="shared" si="0"/>
        <v>1.1613834713319756E-3</v>
      </c>
      <c r="F7" s="28">
        <f t="shared" si="1"/>
        <v>1161.3834713319757</v>
      </c>
      <c r="G7" s="29">
        <f t="shared" si="3"/>
        <v>504.53339999999997</v>
      </c>
    </row>
    <row r="8" spans="1:8" x14ac:dyDescent="0.25">
      <c r="A8" s="27" t="s">
        <v>131</v>
      </c>
      <c r="B8" s="28" t="s">
        <v>122</v>
      </c>
      <c r="C8" s="28">
        <v>8.5300000000000001E-2</v>
      </c>
      <c r="D8" s="28">
        <f>PI()*9.07^2/4*1.15</f>
        <v>74.302306577885972</v>
      </c>
      <c r="E8" s="28">
        <f t="shared" si="0"/>
        <v>1.1480128131767472E-3</v>
      </c>
      <c r="F8" s="28">
        <f t="shared" si="1"/>
        <v>1148.0128131767472</v>
      </c>
      <c r="G8" s="29">
        <f>2*PI()*9.07/2*(9.07/2+1.15)</f>
        <v>161.98978491741784</v>
      </c>
    </row>
    <row r="9" spans="1:8" x14ac:dyDescent="0.25">
      <c r="A9" s="27" t="s">
        <v>131</v>
      </c>
      <c r="B9" s="28" t="s">
        <v>123</v>
      </c>
      <c r="C9" s="28">
        <v>8.5999999999999993E-2</v>
      </c>
      <c r="D9" s="28">
        <f t="shared" ref="D9:D10" si="4">PI()*9.07^2/4*1.15</f>
        <v>74.302306577885972</v>
      </c>
      <c r="E9" s="28">
        <f t="shared" si="0"/>
        <v>1.1574337858522889E-3</v>
      </c>
      <c r="F9" s="28">
        <f t="shared" si="1"/>
        <v>1157.4337858522888</v>
      </c>
      <c r="G9" s="29">
        <f t="shared" ref="G9:G15" si="5">2*PI()*9.07/2*(9.07/2+1.15)</f>
        <v>161.98978491741784</v>
      </c>
    </row>
    <row r="10" spans="1:8" x14ac:dyDescent="0.25">
      <c r="A10" s="27" t="s">
        <v>131</v>
      </c>
      <c r="B10" s="28" t="s">
        <v>124</v>
      </c>
      <c r="C10" s="28">
        <v>8.72E-2</v>
      </c>
      <c r="D10" s="28">
        <f t="shared" si="4"/>
        <v>74.302306577885972</v>
      </c>
      <c r="E10" s="28">
        <f t="shared" si="0"/>
        <v>1.1735840247246467E-3</v>
      </c>
      <c r="F10" s="28">
        <f t="shared" si="1"/>
        <v>1173.5840247246467</v>
      </c>
      <c r="G10" s="29">
        <f t="shared" si="5"/>
        <v>161.98978491741784</v>
      </c>
    </row>
    <row r="11" spans="1:8" x14ac:dyDescent="0.25">
      <c r="A11" s="27" t="s">
        <v>131</v>
      </c>
      <c r="B11" s="28" t="s">
        <v>125</v>
      </c>
      <c r="C11" s="28">
        <v>8.2100000000000006E-2</v>
      </c>
      <c r="D11" s="28">
        <f>PI()*9.07^2/4*1.15</f>
        <v>74.302306577885972</v>
      </c>
      <c r="E11" s="28">
        <f t="shared" si="0"/>
        <v>1.1049455095171272E-3</v>
      </c>
      <c r="F11" s="28">
        <f t="shared" si="1"/>
        <v>1104.9455095171272</v>
      </c>
      <c r="G11" s="29">
        <f t="shared" si="5"/>
        <v>161.98978491741784</v>
      </c>
    </row>
    <row r="12" spans="1:8" x14ac:dyDescent="0.25">
      <c r="A12" s="27" t="s">
        <v>131</v>
      </c>
      <c r="B12" s="28" t="s">
        <v>126</v>
      </c>
      <c r="C12" s="28">
        <v>8.1100000000000005E-2</v>
      </c>
      <c r="D12" s="28">
        <f t="shared" ref="D12:D15" si="6">PI()*9.07^2/4*1.15</f>
        <v>74.302306577885972</v>
      </c>
      <c r="E12" s="28">
        <f t="shared" si="0"/>
        <v>1.0914869771234958E-3</v>
      </c>
      <c r="F12" s="28">
        <f t="shared" si="1"/>
        <v>1091.4869771234958</v>
      </c>
      <c r="G12" s="29">
        <f t="shared" si="5"/>
        <v>161.98978491741784</v>
      </c>
    </row>
    <row r="13" spans="1:8" x14ac:dyDescent="0.25">
      <c r="A13" s="27" t="s">
        <v>131</v>
      </c>
      <c r="B13" s="28" t="s">
        <v>127</v>
      </c>
      <c r="C13" s="28">
        <v>8.7300000000000003E-2</v>
      </c>
      <c r="D13" s="28">
        <f t="shared" si="6"/>
        <v>74.302306577885972</v>
      </c>
      <c r="E13" s="28">
        <f t="shared" si="0"/>
        <v>1.1749298779640098E-3</v>
      </c>
      <c r="F13" s="28">
        <f t="shared" si="1"/>
        <v>1174.9298779640098</v>
      </c>
      <c r="G13" s="29">
        <f t="shared" si="5"/>
        <v>161.98978491741784</v>
      </c>
    </row>
    <row r="14" spans="1:8" x14ac:dyDescent="0.25">
      <c r="A14" s="27" t="s">
        <v>131</v>
      </c>
      <c r="B14" s="28" t="s">
        <v>128</v>
      </c>
      <c r="C14" s="28">
        <v>8.5199999999999998E-2</v>
      </c>
      <c r="D14" s="28">
        <f t="shared" si="6"/>
        <v>74.302306577885972</v>
      </c>
      <c r="E14" s="28">
        <f t="shared" si="0"/>
        <v>1.1466669599373841E-3</v>
      </c>
      <c r="F14" s="28">
        <f t="shared" si="1"/>
        <v>1146.666959937384</v>
      </c>
      <c r="G14" s="29">
        <f t="shared" si="5"/>
        <v>161.98978491741784</v>
      </c>
    </row>
    <row r="15" spans="1:8" x14ac:dyDescent="0.25">
      <c r="A15" s="27" t="s">
        <v>131</v>
      </c>
      <c r="B15" s="28" t="s">
        <v>129</v>
      </c>
      <c r="C15" s="28">
        <v>8.5599999999999996E-2</v>
      </c>
      <c r="D15" s="28">
        <f t="shared" si="6"/>
        <v>74.302306577885972</v>
      </c>
      <c r="E15" s="28">
        <f t="shared" si="0"/>
        <v>1.1520503728948365E-3</v>
      </c>
      <c r="F15" s="28">
        <f t="shared" si="1"/>
        <v>1152.0503728948365</v>
      </c>
      <c r="G15" s="29">
        <f t="shared" si="5"/>
        <v>161.98978491741784</v>
      </c>
    </row>
    <row r="16" spans="1:8" x14ac:dyDescent="0.25">
      <c r="A16" s="27" t="s">
        <v>131</v>
      </c>
      <c r="B16" s="28" t="s">
        <v>132</v>
      </c>
      <c r="C16" s="28">
        <v>0.71499999999999997</v>
      </c>
      <c r="D16" s="28">
        <f>PI()*9.15^2/4*9.4</f>
        <v>618.10167870940302</v>
      </c>
      <c r="E16" s="28">
        <f t="shared" si="0"/>
        <v>1.1567676073828512E-3</v>
      </c>
      <c r="F16" s="28">
        <f t="shared" si="1"/>
        <v>1156.7676073828511</v>
      </c>
      <c r="G16" s="29">
        <f>2*PI()*9.15/2*(9.15/2+9.4)</f>
        <v>401.71937960534393</v>
      </c>
    </row>
    <row r="17" spans="1:7" x14ac:dyDescent="0.25">
      <c r="A17" s="27" t="s">
        <v>131</v>
      </c>
      <c r="B17" s="28" t="s">
        <v>133</v>
      </c>
      <c r="C17" s="28">
        <v>0.71619999999999995</v>
      </c>
      <c r="D17" s="28">
        <f t="shared" ref="D17:D21" si="7">PI()*9.15^2/4*9.4</f>
        <v>618.10167870940302</v>
      </c>
      <c r="E17" s="28">
        <f t="shared" si="0"/>
        <v>1.1587090355351022E-3</v>
      </c>
      <c r="F17" s="28">
        <f t="shared" si="1"/>
        <v>1158.7090355351022</v>
      </c>
      <c r="G17" s="29">
        <f t="shared" ref="G17:G21" si="8">2*PI()*9.15/2*(9.15/2+9.4)</f>
        <v>401.71937960534393</v>
      </c>
    </row>
    <row r="18" spans="1:7" x14ac:dyDescent="0.25">
      <c r="A18" s="27" t="s">
        <v>131</v>
      </c>
      <c r="B18" s="28" t="s">
        <v>134</v>
      </c>
      <c r="C18" s="28">
        <v>0.72230000000000005</v>
      </c>
      <c r="D18" s="28">
        <f t="shared" si="7"/>
        <v>618.10167870940302</v>
      </c>
      <c r="E18" s="28">
        <f t="shared" si="0"/>
        <v>1.1685779619757112E-3</v>
      </c>
      <c r="F18" s="28">
        <f t="shared" si="1"/>
        <v>1168.5779619757111</v>
      </c>
      <c r="G18" s="29">
        <f t="shared" si="8"/>
        <v>401.71937960534393</v>
      </c>
    </row>
    <row r="19" spans="1:7" x14ac:dyDescent="0.25">
      <c r="A19" s="27" t="s">
        <v>131</v>
      </c>
      <c r="B19" s="28" t="s">
        <v>135</v>
      </c>
      <c r="C19" s="28">
        <v>0.72399999999999998</v>
      </c>
      <c r="D19" s="28">
        <f t="shared" si="7"/>
        <v>618.10167870940302</v>
      </c>
      <c r="E19" s="28">
        <f t="shared" si="0"/>
        <v>1.1713283185247332E-3</v>
      </c>
      <c r="F19" s="28">
        <f t="shared" si="1"/>
        <v>1171.3283185247333</v>
      </c>
      <c r="G19" s="29">
        <f t="shared" si="8"/>
        <v>401.71937960534393</v>
      </c>
    </row>
    <row r="20" spans="1:7" x14ac:dyDescent="0.25">
      <c r="A20" s="27" t="s">
        <v>131</v>
      </c>
      <c r="B20" s="28" t="s">
        <v>136</v>
      </c>
      <c r="C20" s="28">
        <v>0.73009999999999997</v>
      </c>
      <c r="D20" s="28">
        <f t="shared" si="7"/>
        <v>618.10167870940302</v>
      </c>
      <c r="E20" s="28">
        <f t="shared" si="0"/>
        <v>1.1811972449653422E-3</v>
      </c>
      <c r="F20" s="28">
        <f t="shared" si="1"/>
        <v>1181.1972449653422</v>
      </c>
      <c r="G20" s="29">
        <f t="shared" si="8"/>
        <v>401.71937960534393</v>
      </c>
    </row>
    <row r="21" spans="1:7" x14ac:dyDescent="0.25">
      <c r="A21" s="27" t="s">
        <v>131</v>
      </c>
      <c r="B21" s="28" t="s">
        <v>137</v>
      </c>
      <c r="C21" s="28">
        <v>0.73</v>
      </c>
      <c r="D21" s="28">
        <f t="shared" si="7"/>
        <v>618.10167870940302</v>
      </c>
      <c r="E21" s="28">
        <f t="shared" si="0"/>
        <v>1.1810354592859879E-3</v>
      </c>
      <c r="F21" s="28">
        <f t="shared" si="1"/>
        <v>1181.0354592859878</v>
      </c>
      <c r="G21" s="29">
        <f t="shared" si="8"/>
        <v>401.71937960534393</v>
      </c>
    </row>
    <row r="22" spans="1:7" x14ac:dyDescent="0.25">
      <c r="A22" s="27" t="s">
        <v>131</v>
      </c>
      <c r="B22" s="28" t="s">
        <v>138</v>
      </c>
      <c r="C22" s="28">
        <v>0.47489999999999999</v>
      </c>
      <c r="D22" s="28">
        <f>4/3*PI()*4.55^3</f>
        <v>394.5688529263856</v>
      </c>
      <c r="E22" s="28">
        <f t="shared" si="0"/>
        <v>1.2035922158523792E-3</v>
      </c>
      <c r="F22" s="28">
        <f t="shared" si="1"/>
        <v>1203.5922158523792</v>
      </c>
      <c r="G22" s="29">
        <f>4*PI()*4.55^2</f>
        <v>260.15528764377075</v>
      </c>
    </row>
    <row r="23" spans="1:7" x14ac:dyDescent="0.25">
      <c r="A23" s="27" t="s">
        <v>131</v>
      </c>
      <c r="B23" s="28" t="s">
        <v>139</v>
      </c>
      <c r="C23" s="28">
        <v>0.48530000000000001</v>
      </c>
      <c r="D23" s="28">
        <f t="shared" ref="D23:D29" si="9">4/3*PI()*4.55^3</f>
        <v>394.5688529263856</v>
      </c>
      <c r="E23" s="28">
        <f t="shared" si="0"/>
        <v>1.2299500997118545E-3</v>
      </c>
      <c r="F23" s="28">
        <f t="shared" si="1"/>
        <v>1229.9500997118546</v>
      </c>
      <c r="G23" s="29">
        <f t="shared" ref="G23:G29" si="10">4*PI()*4.55^2</f>
        <v>260.15528764377075</v>
      </c>
    </row>
    <row r="24" spans="1:7" x14ac:dyDescent="0.25">
      <c r="A24" s="27" t="s">
        <v>131</v>
      </c>
      <c r="B24" s="28" t="s">
        <v>140</v>
      </c>
      <c r="C24" s="28">
        <v>0.47549999999999998</v>
      </c>
      <c r="D24" s="28">
        <f t="shared" si="9"/>
        <v>394.5688529263856</v>
      </c>
      <c r="E24" s="28">
        <f t="shared" si="0"/>
        <v>1.2051128629981182E-3</v>
      </c>
      <c r="F24" s="28">
        <f t="shared" si="1"/>
        <v>1205.1128629981183</v>
      </c>
      <c r="G24" s="29">
        <f t="shared" si="10"/>
        <v>260.15528764377075</v>
      </c>
    </row>
    <row r="25" spans="1:7" x14ac:dyDescent="0.25">
      <c r="A25" s="27" t="s">
        <v>131</v>
      </c>
      <c r="B25" s="28" t="s">
        <v>141</v>
      </c>
      <c r="C25" s="28">
        <v>0.48549999999999999</v>
      </c>
      <c r="D25" s="28">
        <f t="shared" si="9"/>
        <v>394.5688529263856</v>
      </c>
      <c r="E25" s="28">
        <f t="shared" si="0"/>
        <v>1.2304569820937674E-3</v>
      </c>
      <c r="F25" s="28">
        <f t="shared" si="1"/>
        <v>1230.4569820937675</v>
      </c>
      <c r="G25" s="29">
        <f t="shared" si="10"/>
        <v>260.15528764377075</v>
      </c>
    </row>
    <row r="26" spans="1:7" x14ac:dyDescent="0.25">
      <c r="A26" s="27" t="s">
        <v>131</v>
      </c>
      <c r="B26" s="28" t="s">
        <v>142</v>
      </c>
      <c r="C26" s="28">
        <v>0.47989999999999999</v>
      </c>
      <c r="D26" s="28">
        <f t="shared" si="9"/>
        <v>394.5688529263856</v>
      </c>
      <c r="E26" s="28">
        <f t="shared" si="0"/>
        <v>1.2162642754002038E-3</v>
      </c>
      <c r="F26" s="28">
        <f t="shared" si="1"/>
        <v>1216.2642754002038</v>
      </c>
      <c r="G26" s="29">
        <f t="shared" si="10"/>
        <v>260.15528764377075</v>
      </c>
    </row>
    <row r="27" spans="1:7" x14ac:dyDescent="0.25">
      <c r="A27" s="27" t="s">
        <v>131</v>
      </c>
      <c r="B27" s="28" t="s">
        <v>143</v>
      </c>
      <c r="C27" s="28">
        <v>0.47189999999999999</v>
      </c>
      <c r="D27" s="28">
        <f t="shared" si="9"/>
        <v>394.5688529263856</v>
      </c>
      <c r="E27" s="28">
        <f t="shared" si="0"/>
        <v>1.1959889801236845E-3</v>
      </c>
      <c r="F27" s="28">
        <f t="shared" si="1"/>
        <v>1195.9889801236845</v>
      </c>
      <c r="G27" s="29">
        <f t="shared" si="10"/>
        <v>260.15528764377075</v>
      </c>
    </row>
    <row r="28" spans="1:7" x14ac:dyDescent="0.25">
      <c r="A28" s="27" t="s">
        <v>131</v>
      </c>
      <c r="B28" s="28" t="s">
        <v>144</v>
      </c>
      <c r="C28" s="28">
        <v>0.4718</v>
      </c>
      <c r="D28" s="28">
        <f t="shared" si="9"/>
        <v>394.5688529263856</v>
      </c>
      <c r="E28" s="28">
        <f t="shared" si="0"/>
        <v>1.1957355389327279E-3</v>
      </c>
      <c r="F28" s="28">
        <f t="shared" si="1"/>
        <v>1195.7355389327279</v>
      </c>
      <c r="G28" s="29">
        <f t="shared" si="10"/>
        <v>260.15528764377075</v>
      </c>
    </row>
    <row r="29" spans="1:7" x14ac:dyDescent="0.25">
      <c r="A29" s="27" t="s">
        <v>131</v>
      </c>
      <c r="B29" s="28" t="s">
        <v>145</v>
      </c>
      <c r="C29" s="28">
        <v>0.47960000000000003</v>
      </c>
      <c r="D29" s="28">
        <f t="shared" si="9"/>
        <v>394.5688529263856</v>
      </c>
      <c r="E29" s="28">
        <f t="shared" si="0"/>
        <v>1.2155039518273346E-3</v>
      </c>
      <c r="F29" s="28">
        <f t="shared" si="1"/>
        <v>1215.5039518273345</v>
      </c>
      <c r="G29" s="29">
        <f t="shared" si="10"/>
        <v>260.15528764377075</v>
      </c>
    </row>
    <row r="32" spans="1:7" x14ac:dyDescent="0.25">
      <c r="A32" s="16">
        <f>COUNTA(A3:A29)</f>
        <v>27</v>
      </c>
    </row>
  </sheetData>
  <phoneticPr fontId="2" type="noConversion"/>
  <conditionalFormatting sqref="F3:F29">
    <cfRule type="cellIs" dxfId="1" priority="1" operator="lessThan">
      <formula>1000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tabSelected="1" workbookViewId="0">
      <selection activeCell="D18" sqref="D18"/>
    </sheetView>
  </sheetViews>
  <sheetFormatPr defaultColWidth="8.7109375" defaultRowHeight="15" x14ac:dyDescent="0.25"/>
  <cols>
    <col min="1" max="1" width="15.140625" style="16" customWidth="1"/>
    <col min="2" max="2" width="19.85546875" style="16" bestFit="1" customWidth="1"/>
    <col min="3" max="3" width="14.28515625" style="16" bestFit="1" customWidth="1"/>
    <col min="4" max="4" width="22" style="16" bestFit="1" customWidth="1"/>
    <col min="5" max="5" width="25.42578125" style="16" bestFit="1" customWidth="1"/>
    <col min="6" max="6" width="22.42578125" style="16" customWidth="1"/>
    <col min="7" max="7" width="38.42578125" customWidth="1"/>
    <col min="8" max="8" width="12" bestFit="1" customWidth="1"/>
  </cols>
  <sheetData>
    <row r="1" spans="1:8" x14ac:dyDescent="0.25">
      <c r="A1" s="13"/>
      <c r="B1" s="13"/>
      <c r="C1" s="13"/>
      <c r="D1" s="13"/>
      <c r="E1" s="13"/>
      <c r="F1" s="13"/>
    </row>
    <row r="2" spans="1:8" ht="18.75" x14ac:dyDescent="0.3">
      <c r="A2" s="13" t="s">
        <v>6</v>
      </c>
      <c r="B2" s="13" t="s">
        <v>7</v>
      </c>
      <c r="C2" s="13" t="s">
        <v>8</v>
      </c>
      <c r="D2" s="14" t="s">
        <v>14</v>
      </c>
      <c r="E2" s="14" t="s">
        <v>18</v>
      </c>
      <c r="F2" s="14" t="s">
        <v>23</v>
      </c>
      <c r="G2" s="14" t="s">
        <v>154</v>
      </c>
      <c r="H2" s="15"/>
    </row>
    <row r="3" spans="1:8" x14ac:dyDescent="0.25">
      <c r="A3" s="17" t="s">
        <v>147</v>
      </c>
      <c r="B3" s="5" t="s">
        <v>117</v>
      </c>
      <c r="C3" s="5">
        <v>0.28010000000000002</v>
      </c>
      <c r="D3" s="114">
        <f>6.2*6.2*6.33</f>
        <v>243.32520000000002</v>
      </c>
      <c r="E3" s="5">
        <f t="shared" ref="E3:E16" si="0">C3/D3</f>
        <v>1.1511343666829412E-3</v>
      </c>
      <c r="F3" s="5">
        <f>E3*10^6</f>
        <v>1151.1343666829412</v>
      </c>
      <c r="G3" s="29">
        <f>6*6.2^2</f>
        <v>230.64000000000004</v>
      </c>
    </row>
    <row r="4" spans="1:8" x14ac:dyDescent="0.25">
      <c r="A4" s="17" t="s">
        <v>147</v>
      </c>
      <c r="B4" s="5" t="s">
        <v>118</v>
      </c>
      <c r="C4" s="5">
        <v>0.28100000000000003</v>
      </c>
      <c r="D4" s="114">
        <f t="shared" ref="D4:D8" si="1">6.2*6.2*6.33</f>
        <v>243.32520000000002</v>
      </c>
      <c r="E4" s="5">
        <f t="shared" si="0"/>
        <v>1.1548331204495055E-3</v>
      </c>
      <c r="F4" s="5">
        <f t="shared" ref="F4:F30" si="2">E4*10^6</f>
        <v>1154.8331204495055</v>
      </c>
      <c r="G4" s="29">
        <f t="shared" ref="G4:G8" si="3">6*6.2^2</f>
        <v>230.64000000000004</v>
      </c>
    </row>
    <row r="5" spans="1:8" x14ac:dyDescent="0.25">
      <c r="A5" s="17" t="s">
        <v>147</v>
      </c>
      <c r="B5" s="5" t="s">
        <v>119</v>
      </c>
      <c r="C5" s="5">
        <v>0.28189999999999998</v>
      </c>
      <c r="D5" s="114">
        <f t="shared" si="1"/>
        <v>243.32520000000002</v>
      </c>
      <c r="E5" s="5">
        <f t="shared" si="0"/>
        <v>1.1585318742160695E-3</v>
      </c>
      <c r="F5" s="5">
        <f t="shared" si="2"/>
        <v>1158.5318742160696</v>
      </c>
      <c r="G5" s="29">
        <f t="shared" si="3"/>
        <v>230.64000000000004</v>
      </c>
    </row>
    <row r="6" spans="1:8" x14ac:dyDescent="0.25">
      <c r="A6" s="17" t="s">
        <v>147</v>
      </c>
      <c r="B6" s="5" t="s">
        <v>120</v>
      </c>
      <c r="C6" s="5">
        <v>0.2797</v>
      </c>
      <c r="D6" s="114">
        <f t="shared" si="1"/>
        <v>243.32520000000002</v>
      </c>
      <c r="E6" s="5">
        <f t="shared" si="0"/>
        <v>1.1494904761200236E-3</v>
      </c>
      <c r="F6" s="5">
        <f t="shared" si="2"/>
        <v>1149.4904761200237</v>
      </c>
      <c r="G6" s="29">
        <f t="shared" si="3"/>
        <v>230.64000000000004</v>
      </c>
    </row>
    <row r="7" spans="1:8" x14ac:dyDescent="0.25">
      <c r="A7" s="17" t="s">
        <v>147</v>
      </c>
      <c r="B7" s="5" t="s">
        <v>121</v>
      </c>
      <c r="C7" s="5">
        <v>0.27629999999999999</v>
      </c>
      <c r="D7" s="114">
        <f t="shared" si="1"/>
        <v>243.32520000000002</v>
      </c>
      <c r="E7" s="5">
        <f t="shared" si="0"/>
        <v>1.1355174063352254E-3</v>
      </c>
      <c r="F7" s="5">
        <f t="shared" si="2"/>
        <v>1135.5174063352254</v>
      </c>
      <c r="G7" s="29">
        <f t="shared" si="3"/>
        <v>230.64000000000004</v>
      </c>
    </row>
    <row r="8" spans="1:8" x14ac:dyDescent="0.25">
      <c r="A8" s="17" t="s">
        <v>147</v>
      </c>
      <c r="B8" s="5" t="s">
        <v>146</v>
      </c>
      <c r="C8" s="5">
        <v>0.27510000000000001</v>
      </c>
      <c r="D8" s="114">
        <f t="shared" si="1"/>
        <v>243.32520000000002</v>
      </c>
      <c r="E8" s="5">
        <f t="shared" si="0"/>
        <v>1.1305857346464731E-3</v>
      </c>
      <c r="F8" s="5">
        <f t="shared" si="2"/>
        <v>1130.5857346464732</v>
      </c>
      <c r="G8" s="29">
        <f t="shared" si="3"/>
        <v>230.64000000000004</v>
      </c>
    </row>
    <row r="9" spans="1:8" x14ac:dyDescent="0.25">
      <c r="A9" s="17" t="s">
        <v>148</v>
      </c>
      <c r="B9" s="5" t="s">
        <v>122</v>
      </c>
      <c r="C9" s="5">
        <v>2.7099999999999999E-2</v>
      </c>
      <c r="D9" s="115">
        <f>PI()*6.01^2/4*0.9</f>
        <v>25.531794181558954</v>
      </c>
      <c r="E9" s="5">
        <f t="shared" si="0"/>
        <v>1.0614216849505127E-3</v>
      </c>
      <c r="F9" s="5">
        <f t="shared" si="2"/>
        <v>1061.4216849505126</v>
      </c>
      <c r="G9" s="29">
        <f>2*PI()*6.01/2*(6.01/2+0.9)</f>
        <v>73.730195066731525</v>
      </c>
    </row>
    <row r="10" spans="1:8" x14ac:dyDescent="0.25">
      <c r="A10" s="17" t="s">
        <v>148</v>
      </c>
      <c r="B10" s="5" t="s">
        <v>123</v>
      </c>
      <c r="C10" s="5">
        <v>2.8400000000000002E-2</v>
      </c>
      <c r="D10" s="115">
        <f t="shared" ref="D10:D15" si="4">PI()*6.01^2/4*0.9</f>
        <v>25.531794181558954</v>
      </c>
      <c r="E10" s="5">
        <f t="shared" si="0"/>
        <v>1.1123385923466629E-3</v>
      </c>
      <c r="F10" s="5">
        <f t="shared" si="2"/>
        <v>1112.3385923466628</v>
      </c>
      <c r="G10" s="29">
        <f t="shared" ref="G10:G15" si="5">2*PI()*6.01/2*(6.01/2+0.9)</f>
        <v>73.730195066731525</v>
      </c>
    </row>
    <row r="11" spans="1:8" x14ac:dyDescent="0.25">
      <c r="A11" s="17" t="s">
        <v>148</v>
      </c>
      <c r="B11" s="5" t="s">
        <v>124</v>
      </c>
      <c r="C11" s="5">
        <v>2.7300000000000001E-2</v>
      </c>
      <c r="D11" s="115">
        <f t="shared" si="4"/>
        <v>25.531794181558954</v>
      </c>
      <c r="E11" s="5">
        <f t="shared" si="0"/>
        <v>1.0692550553191512E-3</v>
      </c>
      <c r="F11" s="5">
        <f t="shared" si="2"/>
        <v>1069.2550553191513</v>
      </c>
      <c r="G11" s="29">
        <f t="shared" si="5"/>
        <v>73.730195066731525</v>
      </c>
    </row>
    <row r="12" spans="1:8" x14ac:dyDescent="0.25">
      <c r="A12" s="17" t="s">
        <v>148</v>
      </c>
      <c r="B12" s="5" t="s">
        <v>125</v>
      </c>
      <c r="C12" s="5">
        <v>2.5399999999999999E-2</v>
      </c>
      <c r="D12" s="115">
        <f>PI()*5.95^2/4*0.9</f>
        <v>25.02455263171035</v>
      </c>
      <c r="E12" s="5">
        <f t="shared" si="0"/>
        <v>1.0150031600490589E-3</v>
      </c>
      <c r="F12" s="5">
        <f t="shared" si="2"/>
        <v>1015.0031600490588</v>
      </c>
      <c r="G12" s="29">
        <f>2*PI()*5.95/2*(5.95/2+0.9)</f>
        <v>72.433345619329657</v>
      </c>
    </row>
    <row r="13" spans="1:8" x14ac:dyDescent="0.25">
      <c r="A13" s="17" t="s">
        <v>148</v>
      </c>
      <c r="B13" s="5" t="s">
        <v>126</v>
      </c>
      <c r="C13" s="5">
        <v>2.7099999999999999E-2</v>
      </c>
      <c r="D13" s="115">
        <f t="shared" si="4"/>
        <v>25.531794181558954</v>
      </c>
      <c r="E13" s="5">
        <f t="shared" si="0"/>
        <v>1.0614216849505127E-3</v>
      </c>
      <c r="F13" s="5">
        <f t="shared" si="2"/>
        <v>1061.4216849505126</v>
      </c>
      <c r="G13" s="29">
        <f t="shared" si="5"/>
        <v>73.730195066731525</v>
      </c>
    </row>
    <row r="14" spans="1:8" x14ac:dyDescent="0.25">
      <c r="A14" s="17" t="s">
        <v>148</v>
      </c>
      <c r="B14" s="5" t="s">
        <v>127</v>
      </c>
      <c r="C14" s="5">
        <v>2.75E-2</v>
      </c>
      <c r="D14" s="115">
        <f t="shared" si="4"/>
        <v>25.531794181558954</v>
      </c>
      <c r="E14" s="5">
        <f t="shared" si="0"/>
        <v>1.0770884256877896E-3</v>
      </c>
      <c r="F14" s="5">
        <f t="shared" si="2"/>
        <v>1077.0884256877896</v>
      </c>
      <c r="G14" s="29">
        <f t="shared" si="5"/>
        <v>73.730195066731525</v>
      </c>
    </row>
    <row r="15" spans="1:8" x14ac:dyDescent="0.25">
      <c r="A15" s="17" t="s">
        <v>148</v>
      </c>
      <c r="B15" s="5" t="s">
        <v>128</v>
      </c>
      <c r="C15" s="5">
        <v>2.87E-2</v>
      </c>
      <c r="D15" s="115">
        <f t="shared" si="4"/>
        <v>25.531794181558954</v>
      </c>
      <c r="E15" s="5">
        <f t="shared" si="0"/>
        <v>1.1240886478996203E-3</v>
      </c>
      <c r="F15" s="5">
        <f t="shared" si="2"/>
        <v>1124.0886478996204</v>
      </c>
      <c r="G15" s="29">
        <f t="shared" si="5"/>
        <v>73.730195066731525</v>
      </c>
    </row>
    <row r="16" spans="1:8" s="31" customFormat="1" x14ac:dyDescent="0.25">
      <c r="A16" s="27" t="s">
        <v>148</v>
      </c>
      <c r="B16" s="28" t="s">
        <v>129</v>
      </c>
      <c r="C16" s="28">
        <v>2.5399999999999999E-2</v>
      </c>
      <c r="D16" s="115">
        <f>PI()*5.9^2/4*0.9</f>
        <v>24.605739061078658</v>
      </c>
      <c r="E16" s="28">
        <f t="shared" si="0"/>
        <v>1.0322794993862915E-3</v>
      </c>
      <c r="F16" s="28">
        <f t="shared" si="2"/>
        <v>1032.2794993862915</v>
      </c>
      <c r="G16" s="30">
        <f>2*PI()*5.9/2*(5.9/2+0.9)</f>
        <v>71.361277126292165</v>
      </c>
    </row>
    <row r="17" spans="1:7" x14ac:dyDescent="0.25">
      <c r="A17" s="17" t="s">
        <v>148</v>
      </c>
      <c r="B17" s="5" t="s">
        <v>132</v>
      </c>
      <c r="C17" s="5">
        <v>0.2228</v>
      </c>
      <c r="D17" s="115">
        <f>PI()*6.1^2/4*6.3</f>
        <v>184.11539365811998</v>
      </c>
      <c r="E17" s="5">
        <f t="shared" ref="E17:E30" si="6">C17/D17</f>
        <v>1.2101106570899371E-3</v>
      </c>
      <c r="F17" s="5">
        <f t="shared" si="2"/>
        <v>1210.1106570899371</v>
      </c>
      <c r="G17" s="29">
        <f>2*PI()*6.1/2*(6.1/2+6.3)</f>
        <v>179.18073699749382</v>
      </c>
    </row>
    <row r="18" spans="1:7" x14ac:dyDescent="0.25">
      <c r="A18" s="17" t="s">
        <v>148</v>
      </c>
      <c r="B18" s="5" t="s">
        <v>133</v>
      </c>
      <c r="C18" s="5">
        <v>0.21579999999999999</v>
      </c>
      <c r="D18" s="115">
        <f t="shared" ref="D18:D22" si="7">PI()*6.1^2/4*6.3</f>
        <v>184.11539365811998</v>
      </c>
      <c r="E18" s="5">
        <f t="shared" si="6"/>
        <v>1.1720910224416895E-3</v>
      </c>
      <c r="F18" s="5">
        <f t="shared" si="2"/>
        <v>1172.0910224416893</v>
      </c>
      <c r="G18" s="29">
        <f t="shared" ref="G18:G22" si="8">2*PI()*6.1/2*(6.1/2+6.3)</f>
        <v>179.18073699749382</v>
      </c>
    </row>
    <row r="19" spans="1:7" x14ac:dyDescent="0.25">
      <c r="A19" s="17" t="s">
        <v>148</v>
      </c>
      <c r="B19" s="5" t="s">
        <v>134</v>
      </c>
      <c r="C19" s="5">
        <v>0.21429999999999999</v>
      </c>
      <c r="D19" s="115">
        <f t="shared" si="7"/>
        <v>184.11539365811998</v>
      </c>
      <c r="E19" s="5">
        <f t="shared" si="6"/>
        <v>1.1639439578742079E-3</v>
      </c>
      <c r="F19" s="5">
        <f t="shared" si="2"/>
        <v>1163.9439578742079</v>
      </c>
      <c r="G19" s="29">
        <f t="shared" si="8"/>
        <v>179.18073699749382</v>
      </c>
    </row>
    <row r="20" spans="1:7" x14ac:dyDescent="0.25">
      <c r="A20" s="17" t="s">
        <v>148</v>
      </c>
      <c r="B20" s="5" t="s">
        <v>135</v>
      </c>
      <c r="C20" s="5">
        <v>0.2215</v>
      </c>
      <c r="D20" s="115">
        <f t="shared" si="7"/>
        <v>184.11539365811998</v>
      </c>
      <c r="E20" s="5">
        <f t="shared" si="6"/>
        <v>1.2030498677981197E-3</v>
      </c>
      <c r="F20" s="5">
        <f t="shared" si="2"/>
        <v>1203.0498677981197</v>
      </c>
      <c r="G20" s="29">
        <f t="shared" si="8"/>
        <v>179.18073699749382</v>
      </c>
    </row>
    <row r="21" spans="1:7" x14ac:dyDescent="0.25">
      <c r="A21" s="17" t="s">
        <v>148</v>
      </c>
      <c r="B21" s="5" t="s">
        <v>136</v>
      </c>
      <c r="C21" s="5">
        <v>0.21940000000000001</v>
      </c>
      <c r="D21" s="115">
        <f t="shared" si="7"/>
        <v>184.11539365811998</v>
      </c>
      <c r="E21" s="5">
        <f t="shared" si="6"/>
        <v>1.1916439774036455E-3</v>
      </c>
      <c r="F21" s="5">
        <f t="shared" si="2"/>
        <v>1191.6439774036455</v>
      </c>
      <c r="G21" s="29">
        <f t="shared" si="8"/>
        <v>179.18073699749382</v>
      </c>
    </row>
    <row r="22" spans="1:7" x14ac:dyDescent="0.25">
      <c r="A22" s="17" t="s">
        <v>148</v>
      </c>
      <c r="B22" s="5" t="s">
        <v>137</v>
      </c>
      <c r="C22" s="5">
        <v>0.22140000000000001</v>
      </c>
      <c r="D22" s="115">
        <f t="shared" si="7"/>
        <v>184.11539365811998</v>
      </c>
      <c r="E22" s="5">
        <f t="shared" si="6"/>
        <v>1.2025067301602876E-3</v>
      </c>
      <c r="F22" s="5">
        <f t="shared" si="2"/>
        <v>1202.5067301602876</v>
      </c>
      <c r="G22" s="29">
        <f t="shared" si="8"/>
        <v>179.18073699749382</v>
      </c>
    </row>
    <row r="23" spans="1:7" x14ac:dyDescent="0.25">
      <c r="A23" s="17" t="s">
        <v>148</v>
      </c>
      <c r="B23" s="5" t="s">
        <v>138</v>
      </c>
      <c r="C23" s="5">
        <v>0.1452</v>
      </c>
      <c r="D23" s="5">
        <f>4/3*PI()*3.15^3</f>
        <v>130.92430304202782</v>
      </c>
      <c r="E23" s="5">
        <f t="shared" si="6"/>
        <v>1.1090377922683275E-3</v>
      </c>
      <c r="F23" s="5">
        <f t="shared" si="2"/>
        <v>1109.0377922683276</v>
      </c>
      <c r="G23" s="29">
        <f>4*PI()*3.15^2</f>
        <v>124.68981242097888</v>
      </c>
    </row>
    <row r="24" spans="1:7" x14ac:dyDescent="0.25">
      <c r="A24" s="17" t="s">
        <v>148</v>
      </c>
      <c r="B24" s="5" t="s">
        <v>139</v>
      </c>
      <c r="C24" s="5">
        <v>0.14449999999999999</v>
      </c>
      <c r="D24" s="5">
        <f t="shared" ref="D24:D30" si="9">4/3*PI()*3.15^3</f>
        <v>130.92430304202782</v>
      </c>
      <c r="E24" s="5">
        <f t="shared" si="6"/>
        <v>1.103691191341414E-3</v>
      </c>
      <c r="F24" s="5">
        <f t="shared" si="2"/>
        <v>1103.691191341414</v>
      </c>
      <c r="G24" s="29">
        <f t="shared" ref="G24:G30" si="10">4*PI()*3.15^2</f>
        <v>124.68981242097888</v>
      </c>
    </row>
    <row r="25" spans="1:7" x14ac:dyDescent="0.25">
      <c r="A25" s="17" t="s">
        <v>148</v>
      </c>
      <c r="B25" s="5" t="s">
        <v>140</v>
      </c>
      <c r="C25" s="5">
        <v>0.14580000000000001</v>
      </c>
      <c r="D25" s="5">
        <f t="shared" si="9"/>
        <v>130.92430304202782</v>
      </c>
      <c r="E25" s="5">
        <f t="shared" si="6"/>
        <v>1.1136205930628248E-3</v>
      </c>
      <c r="F25" s="5">
        <f t="shared" si="2"/>
        <v>1113.6205930628248</v>
      </c>
      <c r="G25" s="29">
        <f t="shared" si="10"/>
        <v>124.68981242097888</v>
      </c>
    </row>
    <row r="26" spans="1:7" x14ac:dyDescent="0.25">
      <c r="A26" s="17" t="s">
        <v>148</v>
      </c>
      <c r="B26" s="5" t="s">
        <v>141</v>
      </c>
      <c r="C26" s="5">
        <v>0.1429</v>
      </c>
      <c r="D26" s="5">
        <f t="shared" si="9"/>
        <v>130.92430304202782</v>
      </c>
      <c r="E26" s="5">
        <f t="shared" si="6"/>
        <v>1.0914703892227547E-3</v>
      </c>
      <c r="F26" s="5">
        <f t="shared" si="2"/>
        <v>1091.4703892227546</v>
      </c>
      <c r="G26" s="29">
        <f t="shared" si="10"/>
        <v>124.68981242097888</v>
      </c>
    </row>
    <row r="27" spans="1:7" x14ac:dyDescent="0.25">
      <c r="A27" s="17" t="s">
        <v>148</v>
      </c>
      <c r="B27" s="5" t="s">
        <v>142</v>
      </c>
      <c r="C27" s="5">
        <v>0.1414</v>
      </c>
      <c r="D27" s="5">
        <f t="shared" si="9"/>
        <v>130.92430304202782</v>
      </c>
      <c r="E27" s="5">
        <f t="shared" si="6"/>
        <v>1.0800133872365116E-3</v>
      </c>
      <c r="F27" s="5">
        <f t="shared" si="2"/>
        <v>1080.0133872365116</v>
      </c>
      <c r="G27" s="29">
        <f t="shared" si="10"/>
        <v>124.68981242097888</v>
      </c>
    </row>
    <row r="28" spans="1:7" x14ac:dyDescent="0.25">
      <c r="A28" s="17" t="s">
        <v>148</v>
      </c>
      <c r="B28" s="5" t="s">
        <v>143</v>
      </c>
      <c r="C28" s="5">
        <v>0.14779999999999999</v>
      </c>
      <c r="D28" s="5">
        <f t="shared" si="9"/>
        <v>130.92430304202782</v>
      </c>
      <c r="E28" s="5">
        <f t="shared" si="6"/>
        <v>1.1288965957111487E-3</v>
      </c>
      <c r="F28" s="5">
        <f t="shared" si="2"/>
        <v>1128.8965957111486</v>
      </c>
      <c r="G28" s="29">
        <f t="shared" si="10"/>
        <v>124.68981242097888</v>
      </c>
    </row>
    <row r="29" spans="1:7" x14ac:dyDescent="0.25">
      <c r="A29" s="17" t="s">
        <v>148</v>
      </c>
      <c r="B29" s="5" t="s">
        <v>144</v>
      </c>
      <c r="C29" s="5">
        <v>0.14560000000000001</v>
      </c>
      <c r="D29" s="5">
        <f t="shared" si="9"/>
        <v>130.92430304202782</v>
      </c>
      <c r="E29" s="5">
        <f t="shared" si="6"/>
        <v>1.1120929927979923E-3</v>
      </c>
      <c r="F29" s="5">
        <f t="shared" si="2"/>
        <v>1112.0929927979923</v>
      </c>
      <c r="G29" s="29">
        <f t="shared" si="10"/>
        <v>124.68981242097888</v>
      </c>
    </row>
    <row r="30" spans="1:7" x14ac:dyDescent="0.25">
      <c r="A30" s="17" t="s">
        <v>148</v>
      </c>
      <c r="B30" s="5" t="s">
        <v>145</v>
      </c>
      <c r="C30" s="5">
        <v>0.14249999999999999</v>
      </c>
      <c r="D30" s="5">
        <f t="shared" si="9"/>
        <v>130.92430304202782</v>
      </c>
      <c r="E30" s="5">
        <f t="shared" si="6"/>
        <v>1.0884151886930899E-3</v>
      </c>
      <c r="F30" s="5">
        <f t="shared" si="2"/>
        <v>1088.4151886930899</v>
      </c>
      <c r="G30" s="29">
        <f t="shared" si="10"/>
        <v>124.68981242097888</v>
      </c>
    </row>
  </sheetData>
  <autoFilter ref="A2:F30" xr:uid="{00000000-0001-0000-0900-000000000000}"/>
  <phoneticPr fontId="2" type="noConversion"/>
  <conditionalFormatting sqref="F3:F30">
    <cfRule type="cellIs" dxfId="0" priority="1" operator="lessThan">
      <formula>1000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B5B1-8B0D-4FD9-B4BE-62606EEAF6DF}">
  <sheetPr>
    <tabColor theme="4" tint="0.59999389629810485"/>
  </sheetPr>
  <dimension ref="A1:AS6"/>
  <sheetViews>
    <sheetView zoomScaleNormal="100" workbookViewId="0">
      <selection activeCell="AD12" sqref="AD12"/>
    </sheetView>
  </sheetViews>
  <sheetFormatPr defaultColWidth="8.7109375" defaultRowHeight="14.25" x14ac:dyDescent="0.2"/>
  <cols>
    <col min="1" max="1" width="6.5703125" style="87" bestFit="1" customWidth="1"/>
    <col min="2" max="2" width="8" style="87" bestFit="1" customWidth="1"/>
    <col min="3" max="3" width="13.85546875" style="87" bestFit="1" customWidth="1"/>
    <col min="4" max="4" width="9.140625" style="87" hidden="1" customWidth="1"/>
    <col min="5" max="5" width="9.28515625" style="87" hidden="1" customWidth="1"/>
    <col min="6" max="6" width="9" style="87" hidden="1" customWidth="1"/>
    <col min="7" max="7" width="9.140625" style="91" hidden="1" customWidth="1"/>
    <col min="8" max="8" width="9.28515625" style="91" hidden="1" customWidth="1"/>
    <col min="9" max="9" width="9" style="91" hidden="1" customWidth="1"/>
    <col min="10" max="10" width="9.140625" style="91" hidden="1" customWidth="1"/>
    <col min="11" max="11" width="9.28515625" style="91" hidden="1" customWidth="1"/>
    <col min="12" max="12" width="9" style="91" hidden="1" customWidth="1"/>
    <col min="13" max="13" width="9.140625" style="91" bestFit="1" customWidth="1"/>
    <col min="14" max="14" width="9.28515625" style="87" bestFit="1" customWidth="1"/>
    <col min="15" max="15" width="9" style="87" bestFit="1" customWidth="1"/>
    <col min="16" max="18" width="17.140625" style="87" bestFit="1" customWidth="1"/>
    <col min="19" max="21" width="21.7109375" style="87" hidden="1" customWidth="1"/>
    <col min="22" max="22" width="28.85546875" style="87" hidden="1" customWidth="1"/>
    <col min="23" max="25" width="24.85546875" style="87" hidden="1" customWidth="1"/>
    <col min="26" max="26" width="32.42578125" style="87" hidden="1" customWidth="1"/>
    <col min="27" max="27" width="28.85546875" style="87" bestFit="1" customWidth="1"/>
    <col min="28" max="28" width="22.5703125" style="87" bestFit="1" customWidth="1"/>
    <col min="29" max="29" width="20.5703125" style="87" customWidth="1"/>
    <col min="30" max="30" width="20.28515625" style="87" bestFit="1" customWidth="1"/>
    <col min="31" max="16384" width="8.7109375" style="87"/>
  </cols>
  <sheetData>
    <row r="1" spans="1:45" ht="15.75" thickBot="1" x14ac:dyDescent="0.3">
      <c r="A1" s="94"/>
      <c r="B1" s="94"/>
      <c r="C1" s="94"/>
      <c r="D1" s="92" t="s">
        <v>0</v>
      </c>
      <c r="E1" s="92"/>
      <c r="F1" s="92"/>
      <c r="G1" s="92" t="s">
        <v>1</v>
      </c>
      <c r="H1" s="92"/>
      <c r="I1" s="92"/>
      <c r="J1" s="92" t="s">
        <v>2</v>
      </c>
      <c r="K1" s="92"/>
      <c r="L1" s="92"/>
      <c r="M1" s="92" t="s">
        <v>3</v>
      </c>
      <c r="N1" s="92"/>
      <c r="O1" s="92"/>
      <c r="P1" s="93" t="s">
        <v>4</v>
      </c>
      <c r="Q1" s="93"/>
      <c r="R1" s="93"/>
      <c r="S1" s="94"/>
      <c r="T1" s="94"/>
      <c r="U1" s="94"/>
      <c r="V1" s="94"/>
      <c r="W1" s="94"/>
      <c r="X1" s="94"/>
      <c r="Y1" s="94"/>
      <c r="Z1" s="94"/>
      <c r="AA1" s="94" t="s">
        <v>5</v>
      </c>
      <c r="AB1" s="94"/>
      <c r="AC1" s="94"/>
      <c r="AD1" s="97"/>
    </row>
    <row r="2" spans="1:45" s="89" customFormat="1" ht="15" x14ac:dyDescent="0.25">
      <c r="A2" s="94" t="s">
        <v>6</v>
      </c>
      <c r="B2" s="94" t="s">
        <v>7</v>
      </c>
      <c r="C2" s="94" t="s">
        <v>8</v>
      </c>
      <c r="D2" s="95" t="s">
        <v>42</v>
      </c>
      <c r="E2" s="95" t="s">
        <v>43</v>
      </c>
      <c r="F2" s="95" t="s">
        <v>44</v>
      </c>
      <c r="G2" s="95" t="s">
        <v>42</v>
      </c>
      <c r="H2" s="95" t="s">
        <v>43</v>
      </c>
      <c r="I2" s="95" t="s">
        <v>44</v>
      </c>
      <c r="J2" s="95" t="s">
        <v>42</v>
      </c>
      <c r="K2" s="95" t="s">
        <v>43</v>
      </c>
      <c r="L2" s="95" t="s">
        <v>44</v>
      </c>
      <c r="M2" s="95" t="s">
        <v>42</v>
      </c>
      <c r="N2" s="95" t="s">
        <v>43</v>
      </c>
      <c r="O2" s="95" t="s">
        <v>44</v>
      </c>
      <c r="P2" s="95" t="s">
        <v>42</v>
      </c>
      <c r="Q2" s="95" t="s">
        <v>43</v>
      </c>
      <c r="R2" s="95" t="s">
        <v>44</v>
      </c>
      <c r="S2" s="95" t="s">
        <v>14</v>
      </c>
      <c r="T2" s="95" t="s">
        <v>15</v>
      </c>
      <c r="U2" s="95" t="s">
        <v>16</v>
      </c>
      <c r="V2" s="95" t="s">
        <v>17</v>
      </c>
      <c r="W2" s="95" t="s">
        <v>18</v>
      </c>
      <c r="X2" s="95" t="s">
        <v>19</v>
      </c>
      <c r="Y2" s="95" t="s">
        <v>20</v>
      </c>
      <c r="Z2" s="95" t="s">
        <v>21</v>
      </c>
      <c r="AA2" s="95" t="s">
        <v>17</v>
      </c>
      <c r="AB2" s="95" t="s">
        <v>22</v>
      </c>
      <c r="AC2" s="95" t="s">
        <v>23</v>
      </c>
      <c r="AD2" s="96" t="s">
        <v>154</v>
      </c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</row>
    <row r="3" spans="1:45" s="90" customFormat="1" x14ac:dyDescent="0.2">
      <c r="A3" s="97" t="s">
        <v>150</v>
      </c>
      <c r="B3" s="97" t="s">
        <v>116</v>
      </c>
      <c r="C3" s="97">
        <v>0.313</v>
      </c>
      <c r="D3" s="98">
        <v>3</v>
      </c>
      <c r="E3" s="98">
        <v>2.9</v>
      </c>
      <c r="F3" s="98">
        <v>3</v>
      </c>
      <c r="G3" s="99">
        <v>3</v>
      </c>
      <c r="H3" s="99">
        <v>3.1</v>
      </c>
      <c r="I3" s="99">
        <v>3</v>
      </c>
      <c r="J3" s="99">
        <v>3</v>
      </c>
      <c r="K3" s="99">
        <v>3</v>
      </c>
      <c r="L3" s="99">
        <v>3.1</v>
      </c>
      <c r="M3" s="98">
        <f t="shared" ref="M3:O6" si="0">AVERAGE(D3,G3,J3)</f>
        <v>3</v>
      </c>
      <c r="N3" s="98">
        <f t="shared" si="0"/>
        <v>3</v>
      </c>
      <c r="O3" s="98">
        <f t="shared" si="0"/>
        <v>3.0333333333333332</v>
      </c>
      <c r="P3" s="98">
        <f t="shared" ref="P3:R6" si="1">_xlfn.STDEV.S(D3,G3,J3)</f>
        <v>0</v>
      </c>
      <c r="Q3" s="98">
        <f t="shared" si="1"/>
        <v>0.10000000000000009</v>
      </c>
      <c r="R3" s="98">
        <f t="shared" si="1"/>
        <v>5.773502691896263E-2</v>
      </c>
      <c r="S3" s="98">
        <f>D3*E3*F3</f>
        <v>26.099999999999998</v>
      </c>
      <c r="T3" s="98">
        <f>G3*H3*I3</f>
        <v>27.900000000000002</v>
      </c>
      <c r="U3" s="98">
        <f>J3*K3*L3</f>
        <v>27.900000000000002</v>
      </c>
      <c r="V3" s="98">
        <f>AVERAGE(S3:U3)</f>
        <v>27.3</v>
      </c>
      <c r="W3" s="98">
        <f>C3/S3</f>
        <v>1.1992337164750958E-2</v>
      </c>
      <c r="X3" s="98">
        <f>C3/T3</f>
        <v>1.1218637992831541E-2</v>
      </c>
      <c r="Y3" s="98">
        <f>C3/U3</f>
        <v>1.1218637992831541E-2</v>
      </c>
      <c r="Z3" s="98">
        <f>AVERAGE(W3:Y3)</f>
        <v>1.147653771680468E-2</v>
      </c>
      <c r="AA3" s="98">
        <f>M3*N3*O3</f>
        <v>27.299999999999997</v>
      </c>
      <c r="AB3" s="100">
        <f>C3/AA3</f>
        <v>1.1465201465201467E-2</v>
      </c>
      <c r="AC3" s="98">
        <f>AB3*10^6</f>
        <v>11465.201465201468</v>
      </c>
      <c r="AD3" s="99">
        <f>2*(M3*N3+N3*O3+M3*O3)</f>
        <v>54.400000000000006</v>
      </c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</row>
    <row r="4" spans="1:45" x14ac:dyDescent="0.2">
      <c r="A4" s="97" t="s">
        <v>150</v>
      </c>
      <c r="B4" s="97" t="s">
        <v>152</v>
      </c>
      <c r="C4" s="97">
        <v>0.21249999999999999</v>
      </c>
      <c r="D4" s="98">
        <v>8</v>
      </c>
      <c r="E4" s="98">
        <v>7.9</v>
      </c>
      <c r="F4" s="98">
        <v>2.9</v>
      </c>
      <c r="G4" s="99">
        <v>7.9</v>
      </c>
      <c r="H4" s="99">
        <v>7.8</v>
      </c>
      <c r="I4" s="99">
        <v>2.8</v>
      </c>
      <c r="J4" s="99">
        <v>7.8</v>
      </c>
      <c r="K4" s="99">
        <v>7.8</v>
      </c>
      <c r="L4" s="99">
        <v>2.8</v>
      </c>
      <c r="M4" s="98">
        <f t="shared" si="0"/>
        <v>7.8999999999999995</v>
      </c>
      <c r="N4" s="98">
        <f t="shared" si="0"/>
        <v>7.833333333333333</v>
      </c>
      <c r="O4" s="98">
        <f t="shared" si="0"/>
        <v>2.8333333333333335</v>
      </c>
      <c r="P4" s="98">
        <f t="shared" si="1"/>
        <v>0.10000000000000009</v>
      </c>
      <c r="Q4" s="98">
        <f t="shared" si="1"/>
        <v>5.7735026918962887E-2</v>
      </c>
      <c r="R4" s="98">
        <f t="shared" si="1"/>
        <v>5.773502691896263E-2</v>
      </c>
      <c r="S4" s="98">
        <f>D4*E4*F4</f>
        <v>183.28</v>
      </c>
      <c r="T4" s="98">
        <f>G4*H4*I4</f>
        <v>172.536</v>
      </c>
      <c r="U4" s="98">
        <f>J4*K4*L4</f>
        <v>170.35199999999998</v>
      </c>
      <c r="V4" s="98">
        <f>AVERAGE(S4:U4)</f>
        <v>175.38933333333333</v>
      </c>
      <c r="W4" s="98">
        <f>C4/S4</f>
        <v>1.159428197293758E-3</v>
      </c>
      <c r="X4" s="98">
        <f>C4/T4</f>
        <v>1.2316270227662632E-3</v>
      </c>
      <c r="Y4" s="98">
        <f>C4/U4</f>
        <v>1.2474171128017283E-3</v>
      </c>
      <c r="Z4" s="98">
        <f>AVERAGE(W4:Y4)</f>
        <v>1.2128241109539163E-3</v>
      </c>
      <c r="AA4" s="98">
        <f>M4*N4*O4</f>
        <v>175.33611111111111</v>
      </c>
      <c r="AB4" s="100">
        <f>C4/AA4</f>
        <v>1.2119579854565042E-3</v>
      </c>
      <c r="AC4" s="98">
        <f>AB4*10^6</f>
        <v>1211.9579854565043</v>
      </c>
      <c r="AD4" s="99">
        <f t="shared" ref="AD4:AD6" si="2">2*(M4*N4+N4*O4+M4*O4)</f>
        <v>212.92222222222222</v>
      </c>
    </row>
    <row r="5" spans="1:45" x14ac:dyDescent="0.2">
      <c r="A5" s="97" t="s">
        <v>150</v>
      </c>
      <c r="B5" s="97" t="s">
        <v>151</v>
      </c>
      <c r="C5" s="97">
        <v>0.31130000000000002</v>
      </c>
      <c r="D5" s="98">
        <v>7.9</v>
      </c>
      <c r="E5" s="98">
        <v>8</v>
      </c>
      <c r="F5" s="98">
        <v>4.0999999999999996</v>
      </c>
      <c r="G5" s="99">
        <v>7.9</v>
      </c>
      <c r="H5" s="99">
        <v>8</v>
      </c>
      <c r="I5" s="99">
        <v>4.2</v>
      </c>
      <c r="J5" s="99">
        <v>7.9</v>
      </c>
      <c r="K5" s="99">
        <v>7.9</v>
      </c>
      <c r="L5" s="99">
        <v>4.0999999999999996</v>
      </c>
      <c r="M5" s="98">
        <f t="shared" si="0"/>
        <v>7.9000000000000012</v>
      </c>
      <c r="N5" s="98">
        <f t="shared" si="0"/>
        <v>7.9666666666666659</v>
      </c>
      <c r="O5" s="98">
        <f t="shared" si="0"/>
        <v>4.1333333333333337</v>
      </c>
      <c r="P5" s="98">
        <f t="shared" si="1"/>
        <v>1.0877919644084146E-15</v>
      </c>
      <c r="Q5" s="98">
        <f t="shared" si="1"/>
        <v>5.7735026918962373E-2</v>
      </c>
      <c r="R5" s="98">
        <f t="shared" si="1"/>
        <v>5.7735026918962887E-2</v>
      </c>
      <c r="S5" s="98">
        <f>D5*E5*F5</f>
        <v>259.12</v>
      </c>
      <c r="T5" s="98">
        <f>G5*H5*I5</f>
        <v>265.44</v>
      </c>
      <c r="U5" s="98">
        <f>J5*K5*L5</f>
        <v>255.881</v>
      </c>
      <c r="V5" s="98">
        <f>AVERAGE(S5:U5)</f>
        <v>260.14699999999999</v>
      </c>
      <c r="W5" s="98">
        <f>C5/S5</f>
        <v>1.2013738808274159E-3</v>
      </c>
      <c r="X5" s="98">
        <f>C5/T5</f>
        <v>1.1727697408077157E-3</v>
      </c>
      <c r="Y5" s="98">
        <f>C5/U5</f>
        <v>1.2165811451416871E-3</v>
      </c>
      <c r="Z5" s="98">
        <f>AVERAGE(W5:Y5)</f>
        <v>1.196908255592273E-3</v>
      </c>
      <c r="AA5" s="98">
        <f>M5*N5*O5</f>
        <v>260.13822222222223</v>
      </c>
      <c r="AB5" s="100">
        <f>C5/AA5</f>
        <v>1.1966715130930395E-3</v>
      </c>
      <c r="AC5" s="98">
        <f>AB5*10^6</f>
        <v>1196.6715130930395</v>
      </c>
      <c r="AD5" s="99">
        <f t="shared" si="2"/>
        <v>257.03777777777782</v>
      </c>
    </row>
    <row r="6" spans="1:45" x14ac:dyDescent="0.2">
      <c r="A6" s="97" t="s">
        <v>150</v>
      </c>
      <c r="B6" s="97" t="s">
        <v>149</v>
      </c>
      <c r="C6" s="97">
        <v>0.60319999999999996</v>
      </c>
      <c r="D6" s="98">
        <v>7.85</v>
      </c>
      <c r="E6" s="98">
        <v>7.9</v>
      </c>
      <c r="F6" s="98">
        <v>8.1</v>
      </c>
      <c r="G6" s="99">
        <v>7.9</v>
      </c>
      <c r="H6" s="99">
        <v>8.1</v>
      </c>
      <c r="I6" s="99">
        <v>8</v>
      </c>
      <c r="J6" s="99">
        <v>7.9</v>
      </c>
      <c r="K6" s="99">
        <v>7.9</v>
      </c>
      <c r="L6" s="99">
        <v>8.1</v>
      </c>
      <c r="M6" s="98">
        <f t="shared" si="0"/>
        <v>7.8833333333333329</v>
      </c>
      <c r="N6" s="98">
        <f t="shared" si="0"/>
        <v>7.9666666666666659</v>
      </c>
      <c r="O6" s="98">
        <f t="shared" si="0"/>
        <v>8.0666666666666682</v>
      </c>
      <c r="P6" s="98">
        <f t="shared" si="1"/>
        <v>2.88675134594817E-2</v>
      </c>
      <c r="Q6" s="98">
        <f t="shared" si="1"/>
        <v>0.11547005383792475</v>
      </c>
      <c r="R6" s="98">
        <f t="shared" si="1"/>
        <v>5.7735026918962373E-2</v>
      </c>
      <c r="S6" s="98">
        <f>D6*E6*F6</f>
        <v>502.32149999999996</v>
      </c>
      <c r="T6" s="98">
        <f>G6*H6*I6</f>
        <v>511.92</v>
      </c>
      <c r="U6" s="98">
        <f>J6*K6*L6</f>
        <v>505.52100000000002</v>
      </c>
      <c r="V6" s="98">
        <f>AVERAGE(S6:U6)</f>
        <v>506.58750000000003</v>
      </c>
      <c r="W6" s="98">
        <f>C6/S6</f>
        <v>1.2008245715144584E-3</v>
      </c>
      <c r="X6" s="98">
        <f>C6/T6</f>
        <v>1.1783091107985622E-3</v>
      </c>
      <c r="Y6" s="98">
        <f>C6/U6</f>
        <v>1.1932244159985439E-3</v>
      </c>
      <c r="Z6" s="98">
        <f>AVERAGE(W6:Y6)</f>
        <v>1.1907860327705214E-3</v>
      </c>
      <c r="AA6" s="98">
        <f>M6*N6*O6</f>
        <v>506.61803703703703</v>
      </c>
      <c r="AB6" s="100">
        <f>C6/AA6</f>
        <v>1.190640592916557E-3</v>
      </c>
      <c r="AC6" s="98">
        <f>AB6*10^6</f>
        <v>1190.6405929165569</v>
      </c>
      <c r="AD6" s="99">
        <f t="shared" si="2"/>
        <v>381.32111111111112</v>
      </c>
    </row>
  </sheetData>
  <mergeCells count="5">
    <mergeCell ref="D1:F1"/>
    <mergeCell ref="G1:I1"/>
    <mergeCell ref="J1:L1"/>
    <mergeCell ref="M1:O1"/>
    <mergeCell ref="P1:R1"/>
  </mergeCells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10F61-2D16-499D-AE6D-4B470108D59E}">
  <sheetPr>
    <tabColor theme="4" tint="0.59999389629810485"/>
  </sheetPr>
  <dimension ref="A1:AX6"/>
  <sheetViews>
    <sheetView topLeftCell="M1" workbookViewId="0">
      <selection activeCell="AD29" sqref="AD29"/>
    </sheetView>
  </sheetViews>
  <sheetFormatPr defaultColWidth="8.7109375" defaultRowHeight="14.25" x14ac:dyDescent="0.2"/>
  <cols>
    <col min="1" max="1" width="12.42578125" style="88" customWidth="1"/>
    <col min="2" max="2" width="27.28515625" style="88" customWidth="1"/>
    <col min="3" max="3" width="14.7109375" style="88" customWidth="1"/>
    <col min="4" max="4" width="19" style="88" customWidth="1"/>
    <col min="5" max="5" width="18.42578125" style="88" customWidth="1"/>
    <col min="6" max="6" width="19.28515625" style="88" customWidth="1"/>
    <col min="7" max="7" width="17.7109375" style="88" customWidth="1"/>
    <col min="8" max="9" width="14.7109375" style="88" customWidth="1"/>
    <col min="10" max="10" width="17.7109375" style="88" customWidth="1"/>
    <col min="11" max="12" width="14.7109375" style="88" customWidth="1"/>
    <col min="13" max="13" width="16.7109375" style="88" customWidth="1"/>
    <col min="14" max="14" width="19.28515625" style="88" customWidth="1"/>
    <col min="15" max="15" width="18.7109375" style="88" customWidth="1"/>
    <col min="16" max="16" width="15.7109375" style="88" customWidth="1"/>
    <col min="17" max="17" width="16.42578125" style="88" customWidth="1"/>
    <col min="18" max="18" width="18" style="88" customWidth="1"/>
    <col min="19" max="19" width="23.140625" style="88" hidden="1" customWidth="1"/>
    <col min="20" max="20" width="19" style="88" hidden="1" customWidth="1"/>
    <col min="21" max="21" width="19.42578125" style="88" hidden="1" customWidth="1"/>
    <col min="22" max="22" width="25.7109375" style="88" hidden="1" customWidth="1"/>
    <col min="23" max="23" width="24.42578125" style="88" hidden="1" customWidth="1"/>
    <col min="24" max="24" width="25.7109375" style="88" hidden="1" customWidth="1"/>
    <col min="25" max="25" width="23.42578125" style="88" hidden="1" customWidth="1"/>
    <col min="26" max="26" width="29.7109375" style="88" hidden="1" customWidth="1"/>
    <col min="27" max="27" width="34.140625" style="88" customWidth="1"/>
    <col min="28" max="28" width="28" style="88" customWidth="1"/>
    <col min="29" max="29" width="20.5703125" style="88" bestFit="1" customWidth="1"/>
    <col min="30" max="30" width="19.85546875" style="88" bestFit="1" customWidth="1"/>
    <col min="31" max="31" width="38.42578125" style="88" customWidth="1"/>
    <col min="32" max="32" width="12" style="88" bestFit="1" customWidth="1"/>
    <col min="33" max="16384" width="8.7109375" style="88"/>
  </cols>
  <sheetData>
    <row r="1" spans="1:50" ht="15.75" thickBot="1" x14ac:dyDescent="0.25">
      <c r="A1" s="103"/>
      <c r="B1" s="103"/>
      <c r="C1" s="103"/>
      <c r="D1" s="104" t="s">
        <v>0</v>
      </c>
      <c r="E1" s="104"/>
      <c r="F1" s="104"/>
      <c r="G1" s="104" t="s">
        <v>1</v>
      </c>
      <c r="H1" s="104"/>
      <c r="I1" s="104"/>
      <c r="J1" s="104" t="s">
        <v>2</v>
      </c>
      <c r="K1" s="104"/>
      <c r="L1" s="104"/>
      <c r="M1" s="104" t="s">
        <v>3</v>
      </c>
      <c r="N1" s="104"/>
      <c r="O1" s="104"/>
      <c r="P1" s="105" t="s">
        <v>4</v>
      </c>
      <c r="Q1" s="105"/>
      <c r="R1" s="105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1"/>
    </row>
    <row r="2" spans="1:50" s="89" customFormat="1" ht="15" x14ac:dyDescent="0.2">
      <c r="A2" s="103" t="s">
        <v>6</v>
      </c>
      <c r="B2" s="103" t="s">
        <v>7</v>
      </c>
      <c r="C2" s="103" t="s">
        <v>8</v>
      </c>
      <c r="D2" s="106" t="s">
        <v>57</v>
      </c>
      <c r="E2" s="106" t="s">
        <v>79</v>
      </c>
      <c r="F2" s="106" t="s">
        <v>58</v>
      </c>
      <c r="G2" s="106" t="s">
        <v>57</v>
      </c>
      <c r="H2" s="106" t="s">
        <v>79</v>
      </c>
      <c r="I2" s="106" t="s">
        <v>58</v>
      </c>
      <c r="J2" s="106" t="s">
        <v>57</v>
      </c>
      <c r="K2" s="106" t="s">
        <v>79</v>
      </c>
      <c r="L2" s="106" t="s">
        <v>58</v>
      </c>
      <c r="M2" s="96" t="s">
        <v>57</v>
      </c>
      <c r="N2" s="96" t="s">
        <v>79</v>
      </c>
      <c r="O2" s="96" t="s">
        <v>58</v>
      </c>
      <c r="P2" s="96" t="s">
        <v>57</v>
      </c>
      <c r="Q2" s="96" t="s">
        <v>79</v>
      </c>
      <c r="R2" s="96" t="s">
        <v>58</v>
      </c>
      <c r="S2" s="106" t="s">
        <v>14</v>
      </c>
      <c r="T2" s="106" t="s">
        <v>15</v>
      </c>
      <c r="U2" s="106" t="s">
        <v>16</v>
      </c>
      <c r="V2" s="106" t="s">
        <v>17</v>
      </c>
      <c r="W2" s="106" t="s">
        <v>18</v>
      </c>
      <c r="X2" s="106" t="s">
        <v>19</v>
      </c>
      <c r="Y2" s="106" t="s">
        <v>20</v>
      </c>
      <c r="Z2" s="106" t="s">
        <v>21</v>
      </c>
      <c r="AA2" s="106" t="s">
        <v>17</v>
      </c>
      <c r="AB2" s="106" t="s">
        <v>22</v>
      </c>
      <c r="AC2" s="106" t="s">
        <v>23</v>
      </c>
      <c r="AD2" s="96" t="s">
        <v>154</v>
      </c>
      <c r="AE2" s="107"/>
      <c r="AF2" s="107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</row>
    <row r="3" spans="1:50" s="97" customFormat="1" ht="15" x14ac:dyDescent="0.25">
      <c r="A3" s="108" t="s">
        <v>150</v>
      </c>
      <c r="B3" s="108" t="s">
        <v>70</v>
      </c>
      <c r="C3" s="83">
        <v>1.24E-2</v>
      </c>
      <c r="D3" s="83">
        <v>3</v>
      </c>
      <c r="E3" s="83">
        <f>D3/2</f>
        <v>1.5</v>
      </c>
      <c r="F3" s="83">
        <v>3</v>
      </c>
      <c r="G3" s="83">
        <v>3</v>
      </c>
      <c r="H3" s="83">
        <f>G3/2</f>
        <v>1.5</v>
      </c>
      <c r="I3" s="83">
        <v>3</v>
      </c>
      <c r="J3" s="83">
        <v>3</v>
      </c>
      <c r="K3" s="83">
        <f>J3/2</f>
        <v>1.5</v>
      </c>
      <c r="L3" s="83">
        <v>3.1</v>
      </c>
      <c r="M3" s="83">
        <f t="shared" ref="M3:O6" si="0">AVERAGE(D3,G3,J3)</f>
        <v>3</v>
      </c>
      <c r="N3" s="83">
        <f t="shared" si="0"/>
        <v>1.5</v>
      </c>
      <c r="O3" s="83">
        <f t="shared" si="0"/>
        <v>3.0333333333333332</v>
      </c>
      <c r="P3" s="83">
        <f t="shared" ref="P3:R6" si="1">_xlfn.STDEV.S(D3,G3,J3)</f>
        <v>0</v>
      </c>
      <c r="Q3" s="83">
        <f t="shared" si="1"/>
        <v>0</v>
      </c>
      <c r="R3" s="83">
        <f t="shared" si="1"/>
        <v>5.773502691896263E-2</v>
      </c>
      <c r="S3" s="83">
        <f>PI()*(E3^2*F3)/2</f>
        <v>10.602875205865551</v>
      </c>
      <c r="T3" s="83">
        <f>PI()*(H3^2*I3)/2</f>
        <v>10.602875205865551</v>
      </c>
      <c r="U3" s="83">
        <f>PI()*(K3^2*L3)/2</f>
        <v>10.956304379394405</v>
      </c>
      <c r="V3" s="83">
        <f>AVERAGE(S3:U3)</f>
        <v>10.720684930375169</v>
      </c>
      <c r="W3" s="83">
        <f>C3/S3</f>
        <v>1.1694941003493346E-3</v>
      </c>
      <c r="X3" s="83">
        <f>C3/T3</f>
        <v>1.1694941003493346E-3</v>
      </c>
      <c r="Y3" s="83">
        <f>C3/U3</f>
        <v>1.1317684842090333E-3</v>
      </c>
      <c r="Z3" s="83">
        <f>AVERAGE(W3:Y3)</f>
        <v>1.1569188949692342E-3</v>
      </c>
      <c r="AA3" s="83">
        <f>V3</f>
        <v>10.720684930375169</v>
      </c>
      <c r="AB3" s="85">
        <f>C3/AA3</f>
        <v>1.1566425168290121E-3</v>
      </c>
      <c r="AC3" s="83">
        <f>AB3*10^6</f>
        <v>1156.642516829012</v>
      </c>
      <c r="AD3" s="102">
        <f>((2*PI()*N3^2)+(2*PI()*N3*O3))/2</f>
        <v>21.362830044410593</v>
      </c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</row>
    <row r="4" spans="1:50" ht="15" x14ac:dyDescent="0.25">
      <c r="A4" s="108" t="s">
        <v>150</v>
      </c>
      <c r="B4" s="108" t="s">
        <v>71</v>
      </c>
      <c r="C4" s="83">
        <v>7.7499999999999999E-2</v>
      </c>
      <c r="D4" s="83">
        <v>7.8</v>
      </c>
      <c r="E4" s="83">
        <f>D4/2</f>
        <v>3.9</v>
      </c>
      <c r="F4" s="83">
        <v>2.9</v>
      </c>
      <c r="G4" s="83">
        <v>7.9</v>
      </c>
      <c r="H4" s="83">
        <f>G4/2</f>
        <v>3.95</v>
      </c>
      <c r="I4" s="83">
        <v>2.9</v>
      </c>
      <c r="J4" s="83">
        <v>7.8</v>
      </c>
      <c r="K4" s="83">
        <f>J4/2</f>
        <v>3.9</v>
      </c>
      <c r="L4" s="83">
        <v>2.9</v>
      </c>
      <c r="M4" s="83">
        <f t="shared" si="0"/>
        <v>7.833333333333333</v>
      </c>
      <c r="N4" s="83">
        <f t="shared" si="0"/>
        <v>3.9166666666666665</v>
      </c>
      <c r="O4" s="83">
        <f t="shared" si="0"/>
        <v>2.9</v>
      </c>
      <c r="P4" s="83">
        <f t="shared" si="1"/>
        <v>5.7735026918962887E-2</v>
      </c>
      <c r="Q4" s="83">
        <f t="shared" si="1"/>
        <v>2.8867513459481443E-2</v>
      </c>
      <c r="R4" s="83">
        <f t="shared" si="1"/>
        <v>0</v>
      </c>
      <c r="S4" s="83">
        <f>PI()*(E4^2*F4)/2</f>
        <v>69.286255178596079</v>
      </c>
      <c r="T4" s="83">
        <f>PI()*(H4^2*I4)/2</f>
        <v>71.07421409757039</v>
      </c>
      <c r="U4" s="83">
        <f>PI()*(K4^2*L4)/2</f>
        <v>69.286255178596079</v>
      </c>
      <c r="V4" s="83">
        <f>AVERAGE(S4:U4)</f>
        <v>69.88224148492084</v>
      </c>
      <c r="W4" s="83">
        <f>C4/S4</f>
        <v>1.1185479688609482E-3</v>
      </c>
      <c r="X4" s="83">
        <f>C4/T4</f>
        <v>1.0904095245233146E-3</v>
      </c>
      <c r="Y4" s="83">
        <f>C4/U4</f>
        <v>1.1185479688609482E-3</v>
      </c>
      <c r="Z4" s="83">
        <f>AVERAGE(W4:Y4)</f>
        <v>1.1091684874150703E-3</v>
      </c>
      <c r="AA4" s="83">
        <f>V4</f>
        <v>69.88224148492084</v>
      </c>
      <c r="AB4" s="85">
        <f>C4/AA4</f>
        <v>1.1090085027785337E-3</v>
      </c>
      <c r="AC4" s="83">
        <f>AB4*10^6</f>
        <v>1109.0085027785337</v>
      </c>
      <c r="AD4" s="102">
        <f t="shared" ref="AD4:AD6" si="2">((2*PI()*N4^2)+(2*PI()*N4*O4))/2</f>
        <v>83.876160527717488</v>
      </c>
    </row>
    <row r="5" spans="1:50" ht="15" x14ac:dyDescent="0.25">
      <c r="A5" s="108" t="s">
        <v>150</v>
      </c>
      <c r="B5" s="108" t="s">
        <v>72</v>
      </c>
      <c r="C5" s="83">
        <v>0.1139</v>
      </c>
      <c r="D5" s="83">
        <v>7.8</v>
      </c>
      <c r="E5" s="83">
        <f>D5/2</f>
        <v>3.9</v>
      </c>
      <c r="F5" s="83">
        <v>4.2</v>
      </c>
      <c r="G5" s="83">
        <v>7.8</v>
      </c>
      <c r="H5" s="83">
        <f>G5/2</f>
        <v>3.9</v>
      </c>
      <c r="I5" s="83">
        <v>4.0999999999999996</v>
      </c>
      <c r="J5" s="83">
        <v>7.8</v>
      </c>
      <c r="K5" s="83">
        <f>J5/2</f>
        <v>3.9</v>
      </c>
      <c r="L5" s="83">
        <v>4.0999999999999996</v>
      </c>
      <c r="M5" s="83">
        <f t="shared" si="0"/>
        <v>7.8</v>
      </c>
      <c r="N5" s="83">
        <f t="shared" si="0"/>
        <v>3.9</v>
      </c>
      <c r="O5" s="83">
        <f t="shared" si="0"/>
        <v>4.1333333333333337</v>
      </c>
      <c r="P5" s="83">
        <f t="shared" si="1"/>
        <v>0</v>
      </c>
      <c r="Q5" s="83">
        <f t="shared" si="1"/>
        <v>0</v>
      </c>
      <c r="R5" s="83">
        <f t="shared" si="1"/>
        <v>5.7735026918962887E-2</v>
      </c>
      <c r="S5" s="83">
        <f>PI()*(E5^2*F5)/2</f>
        <v>100.34561094831157</v>
      </c>
      <c r="T5" s="83">
        <f>PI()*(H5^2*I5)/2</f>
        <v>97.956429735256535</v>
      </c>
      <c r="U5" s="83">
        <f>PI()*(K5^2*L5)/2</f>
        <v>97.956429735256535</v>
      </c>
      <c r="V5" s="83">
        <f>AVERAGE(S5:U5)</f>
        <v>98.752823472941557</v>
      </c>
      <c r="W5" s="83">
        <f>C5/S5</f>
        <v>1.1350770494453449E-3</v>
      </c>
      <c r="X5" s="83">
        <f>C5/T5</f>
        <v>1.1627618555293778E-3</v>
      </c>
      <c r="Y5" s="83">
        <f>C5/U5</f>
        <v>1.1627618555293778E-3</v>
      </c>
      <c r="Z5" s="83">
        <f>AVERAGE(W5:Y5)</f>
        <v>1.1535335868347002E-3</v>
      </c>
      <c r="AA5" s="83">
        <f>V5</f>
        <v>98.752823472941557</v>
      </c>
      <c r="AB5" s="85">
        <f>C5/AA5</f>
        <v>1.1533847437912375E-3</v>
      </c>
      <c r="AC5" s="83">
        <f>AB5*10^6</f>
        <v>1153.3847437912375</v>
      </c>
      <c r="AD5" s="102">
        <f t="shared" si="2"/>
        <v>98.426097836968211</v>
      </c>
    </row>
    <row r="6" spans="1:50" ht="15" x14ac:dyDescent="0.25">
      <c r="A6" s="108" t="s">
        <v>150</v>
      </c>
      <c r="B6" s="108" t="s">
        <v>73</v>
      </c>
      <c r="C6" s="83">
        <v>0.22189999999999999</v>
      </c>
      <c r="D6" s="83">
        <v>7.8</v>
      </c>
      <c r="E6" s="83">
        <f>D6/2</f>
        <v>3.9</v>
      </c>
      <c r="F6" s="83">
        <v>7.9</v>
      </c>
      <c r="G6" s="83">
        <v>7.9</v>
      </c>
      <c r="H6" s="83">
        <f>G6/2</f>
        <v>3.95</v>
      </c>
      <c r="I6" s="83">
        <v>7.9</v>
      </c>
      <c r="J6" s="83">
        <v>7.8</v>
      </c>
      <c r="K6" s="83">
        <f>J6/2</f>
        <v>3.9</v>
      </c>
      <c r="L6" s="83">
        <v>7.9</v>
      </c>
      <c r="M6" s="83">
        <f t="shared" si="0"/>
        <v>7.833333333333333</v>
      </c>
      <c r="N6" s="83">
        <f t="shared" si="0"/>
        <v>3.9166666666666665</v>
      </c>
      <c r="O6" s="83">
        <f t="shared" si="0"/>
        <v>7.9000000000000012</v>
      </c>
      <c r="P6" s="83">
        <f t="shared" si="1"/>
        <v>5.7735026918962887E-2</v>
      </c>
      <c r="Q6" s="83">
        <f t="shared" si="1"/>
        <v>2.8867513459481443E-2</v>
      </c>
      <c r="R6" s="83">
        <f t="shared" si="1"/>
        <v>1.0877919644084146E-15</v>
      </c>
      <c r="S6" s="83">
        <f>PI()*(E6^2*F6)/2</f>
        <v>188.74531583134797</v>
      </c>
      <c r="T6" s="83">
        <f>PI()*(H6^2*I6)/2</f>
        <v>193.61596254165727</v>
      </c>
      <c r="U6" s="83">
        <f>PI()*(K6^2*L6)/2</f>
        <v>188.74531583134797</v>
      </c>
      <c r="V6" s="83">
        <f>AVERAGE(S6:U6)</f>
        <v>190.36886473478441</v>
      </c>
      <c r="W6" s="83">
        <f>C6/S6</f>
        <v>1.175658315135498E-3</v>
      </c>
      <c r="X6" s="83">
        <f>C6/T6</f>
        <v>1.146083190079213E-3</v>
      </c>
      <c r="Y6" s="83">
        <f>C6/U6</f>
        <v>1.175658315135498E-3</v>
      </c>
      <c r="Z6" s="83">
        <f>AVERAGE(W6:Y6)</f>
        <v>1.1657999401167363E-3</v>
      </c>
      <c r="AA6" s="83">
        <f>V6</f>
        <v>190.36886473478441</v>
      </c>
      <c r="AB6" s="85">
        <f>C6/AA6</f>
        <v>1.1656317870526974E-3</v>
      </c>
      <c r="AC6" s="83">
        <f>AB6*10^6</f>
        <v>1165.6317870526975</v>
      </c>
      <c r="AD6" s="102">
        <f t="shared" si="2"/>
        <v>145.39901666051762</v>
      </c>
    </row>
  </sheetData>
  <mergeCells count="5">
    <mergeCell ref="D1:F1"/>
    <mergeCell ref="G1:I1"/>
    <mergeCell ref="J1:L1"/>
    <mergeCell ref="M1:O1"/>
    <mergeCell ref="P1:R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383F1-5948-4C98-83BF-DE8C68FC55C4}">
  <sheetPr>
    <tabColor theme="4" tint="0.59999389629810485"/>
  </sheetPr>
  <dimension ref="A1:AA5"/>
  <sheetViews>
    <sheetView workbookViewId="0">
      <selection activeCell="Z3" sqref="Z3:Z5"/>
    </sheetView>
  </sheetViews>
  <sheetFormatPr defaultColWidth="11.42578125" defaultRowHeight="15" x14ac:dyDescent="0.25"/>
  <cols>
    <col min="2" max="2" width="15.28515625" customWidth="1"/>
    <col min="3" max="3" width="13.140625" customWidth="1"/>
    <col min="4" max="4" width="15.28515625" hidden="1" customWidth="1"/>
    <col min="5" max="5" width="18.140625" hidden="1" customWidth="1"/>
    <col min="6" max="6" width="17.28515625" hidden="1" customWidth="1"/>
    <col min="7" max="7" width="21.42578125" hidden="1" customWidth="1"/>
    <col min="8" max="8" width="0" hidden="1" customWidth="1"/>
    <col min="9" max="9" width="17.7109375" hidden="1" customWidth="1"/>
    <col min="11" max="11" width="16.42578125" customWidth="1"/>
    <col min="13" max="13" width="9.7109375" customWidth="1"/>
    <col min="14" max="14" width="17.140625" customWidth="1"/>
    <col min="15" max="15" width="0" hidden="1" customWidth="1"/>
    <col min="16" max="16" width="17.42578125" hidden="1" customWidth="1"/>
    <col min="17" max="17" width="22.42578125" hidden="1" customWidth="1"/>
    <col min="18" max="18" width="20.7109375" hidden="1" customWidth="1"/>
    <col min="19" max="19" width="29.5703125" customWidth="1"/>
    <col min="20" max="20" width="23.28515625" hidden="1" customWidth="1"/>
    <col min="21" max="21" width="25" hidden="1" customWidth="1"/>
    <col min="22" max="22" width="25.28515625" hidden="1" customWidth="1"/>
    <col min="23" max="23" width="29.28515625" hidden="1" customWidth="1"/>
    <col min="24" max="24" width="26" customWidth="1"/>
    <col min="25" max="25" width="20.140625" customWidth="1"/>
    <col min="26" max="26" width="24.28515625" customWidth="1"/>
  </cols>
  <sheetData>
    <row r="1" spans="1:27" ht="18.75" x14ac:dyDescent="0.3">
      <c r="A1" s="94"/>
      <c r="B1" s="94"/>
      <c r="C1" s="94"/>
      <c r="D1" s="92" t="s">
        <v>0</v>
      </c>
      <c r="E1" s="92"/>
      <c r="F1" s="92" t="s">
        <v>1</v>
      </c>
      <c r="G1" s="92"/>
      <c r="H1" s="92" t="s">
        <v>2</v>
      </c>
      <c r="I1" s="92"/>
      <c r="J1" s="92" t="s">
        <v>3</v>
      </c>
      <c r="K1" s="92"/>
      <c r="L1" s="93" t="s">
        <v>4</v>
      </c>
      <c r="M1" s="93"/>
      <c r="N1" s="93"/>
      <c r="O1" s="94"/>
      <c r="P1" s="94"/>
      <c r="Q1" s="94"/>
      <c r="R1" s="94"/>
      <c r="S1" s="94"/>
      <c r="T1" s="94"/>
      <c r="U1" s="94"/>
      <c r="V1" s="94"/>
      <c r="W1" s="94"/>
      <c r="X1" s="93" t="s">
        <v>5</v>
      </c>
      <c r="Y1" s="93"/>
      <c r="Z1" s="113"/>
      <c r="AA1" s="2"/>
    </row>
    <row r="2" spans="1:27" ht="18.75" x14ac:dyDescent="0.3">
      <c r="A2" s="94" t="s">
        <v>6</v>
      </c>
      <c r="B2" s="94" t="s">
        <v>7</v>
      </c>
      <c r="C2" s="94" t="s">
        <v>8</v>
      </c>
      <c r="D2" s="95" t="s">
        <v>9</v>
      </c>
      <c r="E2" s="95" t="s">
        <v>10</v>
      </c>
      <c r="F2" s="95" t="s">
        <v>9</v>
      </c>
      <c r="G2" s="95" t="s">
        <v>11</v>
      </c>
      <c r="H2" s="95" t="s">
        <v>12</v>
      </c>
      <c r="I2" s="95" t="s">
        <v>10</v>
      </c>
      <c r="J2" s="95" t="s">
        <v>9</v>
      </c>
      <c r="K2" s="95" t="s">
        <v>13</v>
      </c>
      <c r="L2" s="92" t="s">
        <v>9</v>
      </c>
      <c r="M2" s="92"/>
      <c r="N2" s="95" t="s">
        <v>10</v>
      </c>
      <c r="O2" s="92" t="s">
        <v>14</v>
      </c>
      <c r="P2" s="92"/>
      <c r="Q2" s="95" t="s">
        <v>15</v>
      </c>
      <c r="R2" s="95" t="s">
        <v>16</v>
      </c>
      <c r="S2" s="95" t="s">
        <v>17</v>
      </c>
      <c r="T2" s="95" t="s">
        <v>18</v>
      </c>
      <c r="U2" s="95" t="s">
        <v>19</v>
      </c>
      <c r="V2" s="95" t="s">
        <v>20</v>
      </c>
      <c r="W2" s="95" t="s">
        <v>21</v>
      </c>
      <c r="X2" s="95" t="s">
        <v>22</v>
      </c>
      <c r="Y2" s="95" t="s">
        <v>23</v>
      </c>
      <c r="Z2" s="95" t="s">
        <v>154</v>
      </c>
      <c r="AA2" s="15"/>
    </row>
    <row r="3" spans="1:27" x14ac:dyDescent="0.25">
      <c r="A3" s="97" t="s">
        <v>153</v>
      </c>
      <c r="B3" s="97" t="s">
        <v>24</v>
      </c>
      <c r="C3" s="97">
        <v>2.4799999999999999E-2</v>
      </c>
      <c r="D3" s="109">
        <v>3.1</v>
      </c>
      <c r="E3" s="109">
        <v>3</v>
      </c>
      <c r="F3" s="109">
        <v>2.9</v>
      </c>
      <c r="G3" s="109">
        <v>3.1</v>
      </c>
      <c r="H3" s="109">
        <v>2.8</v>
      </c>
      <c r="I3" s="109">
        <v>2.9</v>
      </c>
      <c r="J3" s="109">
        <f t="shared" ref="J3:K5" si="0">AVERAGE(D3,F3,H3)</f>
        <v>2.9333333333333336</v>
      </c>
      <c r="K3" s="109">
        <f t="shared" si="0"/>
        <v>3</v>
      </c>
      <c r="L3" s="110">
        <f>_xlfn.STDEV.S(D3,G3,I3)</f>
        <v>0.11547005383792526</v>
      </c>
      <c r="M3" s="110"/>
      <c r="N3" s="109">
        <f>_xlfn.STDEV.S(E3,G3,I3)</f>
        <v>0.10000000000000009</v>
      </c>
      <c r="O3" s="111">
        <f>PI()*(D3/2)^2*E3</f>
        <v>22.643029050748439</v>
      </c>
      <c r="P3" s="110"/>
      <c r="Q3" s="109">
        <f>PI()*(F3/2)^2*G3</f>
        <v>20.476115517934875</v>
      </c>
      <c r="R3" s="109">
        <f>PI()*(H3/3)^2*I3</f>
        <v>7.9363611746686136</v>
      </c>
      <c r="S3" s="109">
        <f>AVERAGE(O3:R3)</f>
        <v>17.018501914450642</v>
      </c>
      <c r="T3" s="109">
        <f>C3/O3</f>
        <v>1.0952598234280967E-3</v>
      </c>
      <c r="U3" s="109">
        <f>C3/Q3</f>
        <v>1.2111672244805353E-3</v>
      </c>
      <c r="V3" s="109">
        <f>C3/R3</f>
        <v>3.1248577848443917E-3</v>
      </c>
      <c r="W3" s="109">
        <f>AVERAGE(T3:V3)</f>
        <v>1.8104282775843411E-3</v>
      </c>
      <c r="X3" s="112">
        <f>C3/S3</f>
        <v>1.4572375479737134E-3</v>
      </c>
      <c r="Y3" s="109">
        <f>X3*10^6</f>
        <v>1457.2375479737134</v>
      </c>
      <c r="Z3" s="25">
        <f>2*PI()*J3/2*(J3/2+K3)</f>
        <v>41.161845079034272</v>
      </c>
    </row>
    <row r="4" spans="1:27" x14ac:dyDescent="0.25">
      <c r="A4" s="97" t="s">
        <v>153</v>
      </c>
      <c r="B4" s="97" t="s">
        <v>25</v>
      </c>
      <c r="C4" s="97">
        <v>0.16980000000000001</v>
      </c>
      <c r="D4" s="109">
        <v>7.9</v>
      </c>
      <c r="E4" s="109">
        <v>3</v>
      </c>
      <c r="F4" s="109">
        <v>8</v>
      </c>
      <c r="G4" s="109">
        <v>3.1</v>
      </c>
      <c r="H4" s="109">
        <v>7.8</v>
      </c>
      <c r="I4" s="109">
        <v>2.9</v>
      </c>
      <c r="J4" s="109">
        <f t="shared" si="0"/>
        <v>7.8999999999999995</v>
      </c>
      <c r="K4" s="109">
        <f t="shared" si="0"/>
        <v>3</v>
      </c>
      <c r="L4" s="110">
        <f>_xlfn.STDEV.S(D4,G4,I4)</f>
        <v>2.8307831660749532</v>
      </c>
      <c r="M4" s="110"/>
      <c r="N4" s="109">
        <f>_xlfn.STDEV.S(E4,G4,I4)</f>
        <v>0.10000000000000009</v>
      </c>
      <c r="O4" s="111">
        <f>PI()*(D4/2)^2*E4</f>
        <v>147.05009813290425</v>
      </c>
      <c r="P4" s="110"/>
      <c r="Q4" s="109">
        <f>PI()*(F4/2)^2*G4</f>
        <v>155.82299561805374</v>
      </c>
      <c r="R4" s="109">
        <f>PI()*(H4/3)^2*I4</f>
        <v>61.587782380974303</v>
      </c>
      <c r="S4" s="109">
        <f>AVERAGE(O4:R4)</f>
        <v>121.4869587106441</v>
      </c>
      <c r="T4" s="109">
        <f>C4/O4</f>
        <v>1.1547085119693993E-3</v>
      </c>
      <c r="U4" s="109">
        <f>C4/Q4</f>
        <v>1.0896979571372511E-3</v>
      </c>
      <c r="V4" s="109">
        <f>C4/R4</f>
        <v>2.7570403322795174E-3</v>
      </c>
      <c r="W4" s="109">
        <f>AVERAGE(T4:V4)</f>
        <v>1.6671489337953891E-3</v>
      </c>
      <c r="X4" s="112">
        <f>C4/S4</f>
        <v>1.3976808852745027E-3</v>
      </c>
      <c r="Y4" s="109">
        <f>X4*10^6</f>
        <v>1397.6808852745028</v>
      </c>
      <c r="Z4" s="25">
        <f t="shared" ref="Z4:Z5" si="1">2*PI()*J4/2*(J4/2+K4)</f>
        <v>172.48914464534755</v>
      </c>
    </row>
    <row r="5" spans="1:27" x14ac:dyDescent="0.25">
      <c r="A5" s="97" t="s">
        <v>153</v>
      </c>
      <c r="B5" s="97" t="s">
        <v>26</v>
      </c>
      <c r="C5" s="97">
        <v>0.24429999999999999</v>
      </c>
      <c r="D5" s="109">
        <v>8</v>
      </c>
      <c r="E5" s="109">
        <v>4.2</v>
      </c>
      <c r="F5" s="109">
        <v>7.9</v>
      </c>
      <c r="G5" s="109">
        <v>4</v>
      </c>
      <c r="H5" s="109">
        <v>7.8</v>
      </c>
      <c r="I5" s="109">
        <v>3.9</v>
      </c>
      <c r="J5" s="109">
        <f t="shared" si="0"/>
        <v>7.8999999999999995</v>
      </c>
      <c r="K5" s="109">
        <f t="shared" si="0"/>
        <v>4.0333333333333332</v>
      </c>
      <c r="L5" s="110">
        <f>_xlfn.STDEV.S(D5,G5,I5)</f>
        <v>2.3388031127052997</v>
      </c>
      <c r="M5" s="110"/>
      <c r="N5" s="109">
        <f>_xlfn.STDEV.S(E5,G5,I5)</f>
        <v>0.1527525231651948</v>
      </c>
      <c r="O5" s="111">
        <f>PI()*(D5/2)^2*E5</f>
        <v>211.1150263212341</v>
      </c>
      <c r="P5" s="110"/>
      <c r="Q5" s="109">
        <f>PI()*(F5/2)^2*G5</f>
        <v>196.066797510539</v>
      </c>
      <c r="R5" s="109">
        <f>PI()*(H5/3)^2*I5</f>
        <v>82.824948719241306</v>
      </c>
      <c r="S5" s="109">
        <f>AVERAGE(O5:R5)</f>
        <v>163.33559085033815</v>
      </c>
      <c r="T5" s="109">
        <f>C5/O5</f>
        <v>1.1571890653973224E-3</v>
      </c>
      <c r="U5" s="109">
        <f>C5/Q5</f>
        <v>1.2460039287726335E-3</v>
      </c>
      <c r="V5" s="109">
        <f>C5/R5</f>
        <v>2.9495943405666841E-3</v>
      </c>
      <c r="W5" s="109">
        <f>AVERAGE(T5:V5)</f>
        <v>1.7842624449122132E-3</v>
      </c>
      <c r="X5" s="112">
        <f>C5/S5</f>
        <v>1.4956936129361313E-3</v>
      </c>
      <c r="Y5" s="109">
        <f>X5*10^6</f>
        <v>1495.6936129361313</v>
      </c>
      <c r="Z5" s="25">
        <f t="shared" si="1"/>
        <v>198.13501267415222</v>
      </c>
    </row>
  </sheetData>
  <mergeCells count="14">
    <mergeCell ref="X1:Y1"/>
    <mergeCell ref="D1:E1"/>
    <mergeCell ref="F1:G1"/>
    <mergeCell ref="H1:I1"/>
    <mergeCell ref="J1:K1"/>
    <mergeCell ref="L1:N1"/>
    <mergeCell ref="L5:M5"/>
    <mergeCell ref="O5:P5"/>
    <mergeCell ref="L2:M2"/>
    <mergeCell ref="O2:P2"/>
    <mergeCell ref="L3:M3"/>
    <mergeCell ref="O3:P3"/>
    <mergeCell ref="L4:M4"/>
    <mergeCell ref="O4:P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8751A-BD2D-48F6-9454-FA74094780A5}">
  <dimension ref="A1:AD52"/>
  <sheetViews>
    <sheetView topLeftCell="M1" zoomScale="83" zoomScaleNormal="83" workbookViewId="0">
      <selection activeCell="AE6" sqref="AE6"/>
    </sheetView>
  </sheetViews>
  <sheetFormatPr defaultColWidth="8.7109375" defaultRowHeight="21" x14ac:dyDescent="0.35"/>
  <cols>
    <col min="1" max="1" width="13.5703125" style="34" customWidth="1"/>
    <col min="2" max="2" width="28.7109375" style="34" bestFit="1" customWidth="1"/>
    <col min="3" max="3" width="25.42578125" style="34" customWidth="1"/>
    <col min="4" max="6" width="12" style="34" hidden="1" customWidth="1"/>
    <col min="7" max="12" width="0" style="34" hidden="1" customWidth="1"/>
    <col min="13" max="13" width="20.140625" style="34" customWidth="1"/>
    <col min="14" max="15" width="8.7109375" style="34"/>
    <col min="16" max="18" width="0" style="34" hidden="1" customWidth="1"/>
    <col min="19" max="19" width="20.28515625" style="34" hidden="1" customWidth="1"/>
    <col min="20" max="20" width="20.7109375" style="34" hidden="1" customWidth="1"/>
    <col min="21" max="21" width="20.85546875" style="34" hidden="1" customWidth="1"/>
    <col min="22" max="22" width="32.85546875" style="34" bestFit="1" customWidth="1"/>
    <col min="23" max="25" width="28" style="34" bestFit="1" customWidth="1"/>
    <col min="26" max="26" width="36.5703125" style="34" bestFit="1" customWidth="1"/>
    <col min="27" max="27" width="32.85546875" style="34" bestFit="1" customWidth="1"/>
    <col min="28" max="28" width="25.28515625" style="34" bestFit="1" customWidth="1"/>
    <col min="29" max="29" width="23.140625" style="34" bestFit="1" customWidth="1"/>
    <col min="30" max="30" width="25.5703125" style="33" bestFit="1" customWidth="1"/>
    <col min="31" max="16384" width="8.7109375" style="32"/>
  </cols>
  <sheetData>
    <row r="1" spans="1:30" x14ac:dyDescent="0.35">
      <c r="D1" s="70" t="s">
        <v>0</v>
      </c>
      <c r="E1" s="70"/>
      <c r="G1" s="70" t="s">
        <v>1</v>
      </c>
      <c r="H1" s="70"/>
      <c r="J1" s="70" t="s">
        <v>2</v>
      </c>
      <c r="K1" s="70"/>
      <c r="M1" s="71" t="s">
        <v>3</v>
      </c>
      <c r="N1" s="71"/>
      <c r="O1" s="71"/>
      <c r="P1" s="70" t="s">
        <v>4</v>
      </c>
      <c r="Q1" s="70"/>
      <c r="R1" s="70"/>
      <c r="AA1" s="34" t="s">
        <v>5</v>
      </c>
    </row>
    <row r="2" spans="1:30" x14ac:dyDescent="0.35">
      <c r="A2" s="39" t="s">
        <v>6</v>
      </c>
      <c r="B2" s="39" t="s">
        <v>7</v>
      </c>
      <c r="C2" s="39" t="s">
        <v>8</v>
      </c>
      <c r="D2" s="39" t="s">
        <v>42</v>
      </c>
      <c r="E2" s="39" t="s">
        <v>43</v>
      </c>
      <c r="F2" s="39" t="s">
        <v>44</v>
      </c>
      <c r="G2" s="39" t="s">
        <v>42</v>
      </c>
      <c r="H2" s="39" t="s">
        <v>43</v>
      </c>
      <c r="I2" s="39" t="s">
        <v>44</v>
      </c>
      <c r="J2" s="39" t="s">
        <v>42</v>
      </c>
      <c r="K2" s="39" t="s">
        <v>43</v>
      </c>
      <c r="L2" s="39" t="s">
        <v>44</v>
      </c>
      <c r="M2" s="39" t="s">
        <v>42</v>
      </c>
      <c r="N2" s="39" t="s">
        <v>43</v>
      </c>
      <c r="O2" s="39" t="s">
        <v>44</v>
      </c>
      <c r="P2" s="39" t="s">
        <v>42</v>
      </c>
      <c r="Q2" s="39" t="s">
        <v>43</v>
      </c>
      <c r="R2" s="39" t="s">
        <v>44</v>
      </c>
      <c r="S2" s="39" t="s">
        <v>14</v>
      </c>
      <c r="T2" s="39" t="s">
        <v>15</v>
      </c>
      <c r="U2" s="39" t="s">
        <v>16</v>
      </c>
      <c r="V2" s="39" t="s">
        <v>17</v>
      </c>
      <c r="W2" s="39" t="s">
        <v>18</v>
      </c>
      <c r="X2" s="39" t="s">
        <v>19</v>
      </c>
      <c r="Y2" s="39" t="s">
        <v>20</v>
      </c>
      <c r="Z2" s="39" t="s">
        <v>21</v>
      </c>
      <c r="AA2" s="39" t="s">
        <v>17</v>
      </c>
      <c r="AB2" s="39" t="s">
        <v>22</v>
      </c>
      <c r="AC2" s="39" t="s">
        <v>23</v>
      </c>
      <c r="AD2" s="38" t="s">
        <v>154</v>
      </c>
    </row>
    <row r="3" spans="1:30" x14ac:dyDescent="0.35">
      <c r="A3" s="34" t="s">
        <v>156</v>
      </c>
      <c r="B3" s="34" t="s">
        <v>205</v>
      </c>
      <c r="C3" s="34">
        <v>6.3E-2</v>
      </c>
      <c r="D3" s="34">
        <v>4.8499999999999996</v>
      </c>
      <c r="E3" s="34">
        <v>4.8499999999999996</v>
      </c>
      <c r="F3" s="34">
        <v>2.35</v>
      </c>
      <c r="G3" s="34">
        <v>4.83</v>
      </c>
      <c r="H3" s="34">
        <v>4.82</v>
      </c>
      <c r="I3" s="34">
        <v>2.33</v>
      </c>
      <c r="J3" s="34">
        <v>4.8600000000000003</v>
      </c>
      <c r="K3" s="34">
        <v>4.84</v>
      </c>
      <c r="L3" s="34">
        <v>2.34</v>
      </c>
      <c r="M3" s="34">
        <f t="shared" ref="M3:M34" si="0">AVERAGE(D3,G3,J3)</f>
        <v>4.8466666666666667</v>
      </c>
      <c r="N3" s="34">
        <f t="shared" ref="N3:N34" si="1">AVERAGE(E3,H3,K3)</f>
        <v>4.8366666666666669</v>
      </c>
      <c r="O3" s="34">
        <f t="shared" ref="O3:O34" si="2">AVERAGE(F3,I3,L3)</f>
        <v>2.34</v>
      </c>
      <c r="P3" s="34">
        <f t="shared" ref="P3:P34" si="3">_xlfn.STDEV.S(D3,G3,J3)</f>
        <v>1.5275252316519529E-2</v>
      </c>
      <c r="Q3" s="34">
        <f t="shared" ref="Q3:Q34" si="4">_xlfn.STDEV.S(E3,H3,K3)</f>
        <v>1.5275252316519142E-2</v>
      </c>
      <c r="R3" s="34">
        <f t="shared" ref="R3:R34" si="5">_xlfn.STDEV.S(F3,I3,L3)</f>
        <v>1.0000000000000009E-2</v>
      </c>
      <c r="S3" s="34">
        <f t="shared" ref="S3:S34" si="6">D3*E3*F3</f>
        <v>55.277874999999995</v>
      </c>
      <c r="T3" s="34">
        <f t="shared" ref="T3:T34" si="7">G3*H3*I3</f>
        <v>54.243798000000012</v>
      </c>
      <c r="U3" s="34">
        <f t="shared" ref="U3:U34" si="8">J3*K3*L3</f>
        <v>55.042415999999996</v>
      </c>
      <c r="V3" s="34">
        <f t="shared" ref="V3:V34" si="9">AVERAGE(S3:U3)</f>
        <v>54.85469633333333</v>
      </c>
      <c r="W3" s="36">
        <f t="shared" ref="W3:W34" si="10">C3/S3</f>
        <v>1.1396964879710012E-3</v>
      </c>
      <c r="X3" s="36">
        <f t="shared" ref="X3:X34" si="11">C3/T3</f>
        <v>1.1614230994665968E-3</v>
      </c>
      <c r="Y3" s="36">
        <f t="shared" ref="Y3:Y34" si="12">C3/U3</f>
        <v>1.1445718516425588E-3</v>
      </c>
      <c r="Z3" s="36">
        <f t="shared" ref="Z3:Z34" si="13">AVERAGE(W3:Y3)</f>
        <v>1.1485638130267189E-3</v>
      </c>
      <c r="AA3" s="36">
        <f t="shared" ref="AA3:AA34" si="14">M3*N3*O3</f>
        <v>54.853603999999997</v>
      </c>
      <c r="AB3" s="34">
        <f t="shared" ref="AB3:AB34" si="15">C3/AA3</f>
        <v>1.1485115909612795E-3</v>
      </c>
      <c r="AC3" s="34">
        <f t="shared" ref="AC3:AC34" si="16">AB3*10^6</f>
        <v>1148.5115909612796</v>
      </c>
      <c r="AD3" s="35">
        <f>2*(M3*N3+N3*O3+M3*O3)</f>
        <v>92.20142222222222</v>
      </c>
    </row>
    <row r="4" spans="1:30" x14ac:dyDescent="0.35">
      <c r="A4" s="34" t="s">
        <v>156</v>
      </c>
      <c r="B4" s="34" t="s">
        <v>204</v>
      </c>
      <c r="C4" s="34">
        <v>7.3999999999999996E-2</v>
      </c>
      <c r="D4" s="34">
        <v>4.84</v>
      </c>
      <c r="E4" s="34">
        <v>4.7699999999999996</v>
      </c>
      <c r="F4" s="34">
        <v>2.86</v>
      </c>
      <c r="G4" s="34">
        <v>4.84</v>
      </c>
      <c r="H4" s="34">
        <v>4.76</v>
      </c>
      <c r="I4" s="34">
        <v>2.84</v>
      </c>
      <c r="J4" s="34">
        <v>4.83</v>
      </c>
      <c r="K4" s="34">
        <v>4.76</v>
      </c>
      <c r="L4" s="34">
        <v>2.85</v>
      </c>
      <c r="M4" s="34">
        <f t="shared" si="0"/>
        <v>4.8366666666666669</v>
      </c>
      <c r="N4" s="34">
        <f t="shared" si="1"/>
        <v>4.7633333333333328</v>
      </c>
      <c r="O4" s="34">
        <f t="shared" si="2"/>
        <v>2.8499999999999996</v>
      </c>
      <c r="P4" s="34">
        <f t="shared" si="3"/>
        <v>5.7735026918961348E-3</v>
      </c>
      <c r="Q4" s="34">
        <f t="shared" si="4"/>
        <v>5.7735026918961348E-3</v>
      </c>
      <c r="R4" s="34">
        <f t="shared" si="5"/>
        <v>1.0000000000000009E-2</v>
      </c>
      <c r="S4" s="34">
        <f t="shared" si="6"/>
        <v>66.028247999999991</v>
      </c>
      <c r="T4" s="34">
        <f t="shared" si="7"/>
        <v>65.429055999999989</v>
      </c>
      <c r="U4" s="34">
        <f t="shared" si="8"/>
        <v>65.523780000000002</v>
      </c>
      <c r="V4" s="34">
        <f t="shared" si="9"/>
        <v>65.660361333333313</v>
      </c>
      <c r="W4" s="36">
        <f t="shared" si="10"/>
        <v>1.1207324477244952E-3</v>
      </c>
      <c r="X4" s="36">
        <f t="shared" si="11"/>
        <v>1.1309959905275114E-3</v>
      </c>
      <c r="Y4" s="36">
        <f t="shared" si="12"/>
        <v>1.1293609739853226E-3</v>
      </c>
      <c r="Z4" s="36">
        <f t="shared" si="13"/>
        <v>1.1270298040791096E-3</v>
      </c>
      <c r="AA4" s="36">
        <f t="shared" si="14"/>
        <v>65.660168333333317</v>
      </c>
      <c r="AB4" s="34">
        <f t="shared" si="15"/>
        <v>1.1270150820255032E-3</v>
      </c>
      <c r="AC4" s="34">
        <f t="shared" si="16"/>
        <v>1127.0150820255033</v>
      </c>
      <c r="AD4" s="35">
        <f t="shared" ref="AD3:AD34" si="17">2*(M4*N4+N4*O4+M4*O4)</f>
        <v>100.7973111111111</v>
      </c>
    </row>
    <row r="5" spans="1:30" x14ac:dyDescent="0.35">
      <c r="A5" s="34" t="s">
        <v>156</v>
      </c>
      <c r="B5" s="34" t="s">
        <v>203</v>
      </c>
      <c r="C5" s="34">
        <v>0.06</v>
      </c>
      <c r="D5" s="34">
        <v>4.82</v>
      </c>
      <c r="E5" s="34">
        <v>3.83</v>
      </c>
      <c r="F5" s="34">
        <v>2.89</v>
      </c>
      <c r="G5" s="34">
        <v>4.8</v>
      </c>
      <c r="H5" s="34">
        <v>3.81</v>
      </c>
      <c r="I5" s="34">
        <v>2.88</v>
      </c>
      <c r="J5" s="34">
        <v>4.8099999999999996</v>
      </c>
      <c r="K5" s="34">
        <v>3.82</v>
      </c>
      <c r="L5" s="34">
        <v>2.88</v>
      </c>
      <c r="M5" s="34">
        <f t="shared" si="0"/>
        <v>4.8099999999999996</v>
      </c>
      <c r="N5" s="34">
        <f t="shared" si="1"/>
        <v>3.8200000000000003</v>
      </c>
      <c r="O5" s="34">
        <f t="shared" si="2"/>
        <v>2.8833333333333329</v>
      </c>
      <c r="P5" s="34">
        <f t="shared" si="3"/>
        <v>1.0000000000000231E-2</v>
      </c>
      <c r="Q5" s="34">
        <f t="shared" si="4"/>
        <v>1.0000000000000009E-2</v>
      </c>
      <c r="R5" s="34">
        <f t="shared" si="5"/>
        <v>5.7735026918963907E-3</v>
      </c>
      <c r="S5" s="34">
        <f t="shared" si="6"/>
        <v>53.351134000000009</v>
      </c>
      <c r="T5" s="34">
        <f t="shared" si="7"/>
        <v>52.669440000000002</v>
      </c>
      <c r="U5" s="34">
        <f t="shared" si="8"/>
        <v>52.917695999999992</v>
      </c>
      <c r="V5" s="34">
        <f t="shared" si="9"/>
        <v>52.97942333333333</v>
      </c>
      <c r="W5" s="36">
        <f t="shared" si="10"/>
        <v>1.1246246424677681E-3</v>
      </c>
      <c r="X5" s="36">
        <f t="shared" si="11"/>
        <v>1.1391805191017788E-3</v>
      </c>
      <c r="Y5" s="36">
        <f t="shared" si="12"/>
        <v>1.1338362123702438E-3</v>
      </c>
      <c r="Z5" s="36">
        <f t="shared" si="13"/>
        <v>1.1325471246465969E-3</v>
      </c>
      <c r="AA5" s="36">
        <f t="shared" si="14"/>
        <v>52.978943333333319</v>
      </c>
      <c r="AB5" s="34">
        <f t="shared" si="15"/>
        <v>1.1325254190611455E-3</v>
      </c>
      <c r="AC5" s="34">
        <f t="shared" si="16"/>
        <v>1132.5254190611454</v>
      </c>
      <c r="AD5" s="35">
        <f t="shared" si="17"/>
        <v>86.514733333333325</v>
      </c>
    </row>
    <row r="6" spans="1:30" x14ac:dyDescent="0.35">
      <c r="A6" s="34" t="s">
        <v>156</v>
      </c>
      <c r="B6" s="34" t="s">
        <v>202</v>
      </c>
      <c r="C6" s="34">
        <v>7.3999999999999996E-2</v>
      </c>
      <c r="D6" s="34">
        <v>4.88</v>
      </c>
      <c r="E6" s="34">
        <v>4.82</v>
      </c>
      <c r="F6" s="34">
        <v>2.89</v>
      </c>
      <c r="G6" s="34">
        <v>4.83</v>
      </c>
      <c r="H6" s="34">
        <v>4.8</v>
      </c>
      <c r="I6" s="34">
        <v>2.87</v>
      </c>
      <c r="J6" s="34">
        <v>4.84</v>
      </c>
      <c r="K6" s="34">
        <v>4.82</v>
      </c>
      <c r="L6" s="34">
        <v>2.88</v>
      </c>
      <c r="M6" s="34">
        <f t="shared" si="0"/>
        <v>4.8500000000000005</v>
      </c>
      <c r="N6" s="34">
        <f t="shared" si="1"/>
        <v>4.8133333333333335</v>
      </c>
      <c r="O6" s="34">
        <f t="shared" si="2"/>
        <v>2.8800000000000003</v>
      </c>
      <c r="P6" s="34">
        <f t="shared" si="3"/>
        <v>2.6457513110645845E-2</v>
      </c>
      <c r="Q6" s="34">
        <f t="shared" si="4"/>
        <v>1.1547005383792781E-2</v>
      </c>
      <c r="R6" s="34">
        <f t="shared" si="5"/>
        <v>1.0000000000000009E-2</v>
      </c>
      <c r="S6" s="34">
        <f t="shared" si="6"/>
        <v>67.977423999999999</v>
      </c>
      <c r="T6" s="34">
        <f t="shared" si="7"/>
        <v>66.538080000000008</v>
      </c>
      <c r="U6" s="34">
        <f t="shared" si="8"/>
        <v>67.186943999999997</v>
      </c>
      <c r="V6" s="34">
        <f t="shared" si="9"/>
        <v>67.234149333333335</v>
      </c>
      <c r="W6" s="36">
        <f t="shared" si="10"/>
        <v>1.0885967082247777E-3</v>
      </c>
      <c r="X6" s="36">
        <f t="shared" si="11"/>
        <v>1.1121451054794487E-3</v>
      </c>
      <c r="Y6" s="36">
        <f t="shared" si="12"/>
        <v>1.1014044633433544E-3</v>
      </c>
      <c r="Z6" s="36">
        <f t="shared" si="13"/>
        <v>1.1007154256825269E-3</v>
      </c>
      <c r="AA6" s="36">
        <f t="shared" si="14"/>
        <v>67.232640000000018</v>
      </c>
      <c r="AB6" s="34">
        <f t="shared" si="15"/>
        <v>1.1006558719098339E-3</v>
      </c>
      <c r="AC6" s="34">
        <f t="shared" si="16"/>
        <v>1100.6558719098339</v>
      </c>
      <c r="AD6" s="35">
        <f t="shared" si="17"/>
        <v>102.35013333333335</v>
      </c>
    </row>
    <row r="7" spans="1:30" x14ac:dyDescent="0.35">
      <c r="A7" s="34" t="s">
        <v>156</v>
      </c>
      <c r="B7" s="34" t="s">
        <v>201</v>
      </c>
      <c r="C7" s="34">
        <v>2.7E-2</v>
      </c>
      <c r="D7" s="34">
        <v>3.86</v>
      </c>
      <c r="E7" s="34">
        <v>2.81</v>
      </c>
      <c r="F7" s="34">
        <v>2.3199999999999998</v>
      </c>
      <c r="G7" s="34">
        <v>3.83</v>
      </c>
      <c r="H7" s="34">
        <v>2.79</v>
      </c>
      <c r="I7" s="34">
        <v>2.3199999999999998</v>
      </c>
      <c r="J7" s="34">
        <v>3.84</v>
      </c>
      <c r="K7" s="34">
        <v>2.8</v>
      </c>
      <c r="L7" s="34">
        <v>2.3199999999999998</v>
      </c>
      <c r="M7" s="34">
        <f t="shared" si="0"/>
        <v>3.8433333333333333</v>
      </c>
      <c r="N7" s="34">
        <f t="shared" si="1"/>
        <v>2.7999999999999994</v>
      </c>
      <c r="O7" s="34">
        <f t="shared" si="2"/>
        <v>2.3199999999999998</v>
      </c>
      <c r="P7" s="34">
        <f t="shared" si="3"/>
        <v>1.5275252316519385E-2</v>
      </c>
      <c r="Q7" s="34">
        <f t="shared" si="4"/>
        <v>1.0000000000000009E-2</v>
      </c>
      <c r="R7" s="34">
        <f t="shared" si="5"/>
        <v>0</v>
      </c>
      <c r="S7" s="34">
        <f t="shared" si="6"/>
        <v>25.164111999999999</v>
      </c>
      <c r="T7" s="34">
        <f t="shared" si="7"/>
        <v>24.790824000000001</v>
      </c>
      <c r="U7" s="34">
        <f t="shared" si="8"/>
        <v>24.944639999999996</v>
      </c>
      <c r="V7" s="34">
        <f t="shared" si="9"/>
        <v>24.966525333333333</v>
      </c>
      <c r="W7" s="36">
        <f t="shared" si="10"/>
        <v>1.0729565978723986E-3</v>
      </c>
      <c r="X7" s="36">
        <f t="shared" si="11"/>
        <v>1.0891126490995217E-3</v>
      </c>
      <c r="Y7" s="36">
        <f t="shared" si="12"/>
        <v>1.0823968596059114E-3</v>
      </c>
      <c r="Z7" s="36">
        <f t="shared" si="13"/>
        <v>1.0814887021926105E-3</v>
      </c>
      <c r="AA7" s="36">
        <f t="shared" si="14"/>
        <v>24.966293333333326</v>
      </c>
      <c r="AB7" s="34">
        <f t="shared" si="15"/>
        <v>1.0814580938994017E-3</v>
      </c>
      <c r="AC7" s="34">
        <f t="shared" si="16"/>
        <v>1081.4580938994018</v>
      </c>
      <c r="AD7" s="35">
        <f t="shared" si="17"/>
        <v>52.347733333333323</v>
      </c>
    </row>
    <row r="8" spans="1:30" x14ac:dyDescent="0.35">
      <c r="A8" s="34" t="s">
        <v>156</v>
      </c>
      <c r="B8" s="34" t="s">
        <v>200</v>
      </c>
      <c r="C8" s="34">
        <v>4.8000000000000001E-2</v>
      </c>
      <c r="D8" s="34">
        <v>4.87</v>
      </c>
      <c r="E8" s="34">
        <v>3.84</v>
      </c>
      <c r="F8" s="34">
        <v>2.3199999999999998</v>
      </c>
      <c r="G8" s="34">
        <v>4.84</v>
      </c>
      <c r="H8" s="34">
        <v>3.83</v>
      </c>
      <c r="I8" s="34">
        <v>2.31</v>
      </c>
      <c r="J8" s="34">
        <v>4.8600000000000003</v>
      </c>
      <c r="K8" s="34">
        <v>3.83</v>
      </c>
      <c r="L8" s="34">
        <v>2.2999999999999998</v>
      </c>
      <c r="M8" s="34">
        <f t="shared" si="0"/>
        <v>4.8566666666666665</v>
      </c>
      <c r="N8" s="34">
        <f t="shared" si="1"/>
        <v>3.8333333333333335</v>
      </c>
      <c r="O8" s="34">
        <f t="shared" si="2"/>
        <v>2.31</v>
      </c>
      <c r="P8" s="34">
        <f t="shared" si="3"/>
        <v>1.5275252316519626E-2</v>
      </c>
      <c r="Q8" s="34">
        <f t="shared" si="4"/>
        <v>5.7735026918961348E-3</v>
      </c>
      <c r="R8" s="34">
        <f t="shared" si="5"/>
        <v>1.0000000000000009E-2</v>
      </c>
      <c r="S8" s="34">
        <f t="shared" si="6"/>
        <v>43.385855999999997</v>
      </c>
      <c r="T8" s="34">
        <f t="shared" si="7"/>
        <v>42.820931999999999</v>
      </c>
      <c r="U8" s="34">
        <f t="shared" si="8"/>
        <v>42.81174</v>
      </c>
      <c r="V8" s="34">
        <f t="shared" si="9"/>
        <v>43.006176000000004</v>
      </c>
      <c r="W8" s="36">
        <f t="shared" si="10"/>
        <v>1.1063513417829075E-3</v>
      </c>
      <c r="X8" s="36">
        <f t="shared" si="11"/>
        <v>1.1209471106327158E-3</v>
      </c>
      <c r="Y8" s="36">
        <f t="shared" si="12"/>
        <v>1.1211877863408495E-3</v>
      </c>
      <c r="Z8" s="36">
        <f t="shared" si="13"/>
        <v>1.1161620795854907E-3</v>
      </c>
      <c r="AA8" s="36">
        <f t="shared" si="14"/>
        <v>43.005783333333333</v>
      </c>
      <c r="AB8" s="34">
        <f t="shared" si="15"/>
        <v>1.1161289547491093E-3</v>
      </c>
      <c r="AC8" s="34">
        <f t="shared" si="16"/>
        <v>1116.1289547491092</v>
      </c>
      <c r="AD8" s="35">
        <f t="shared" si="17"/>
        <v>77.382244444444439</v>
      </c>
    </row>
    <row r="9" spans="1:30" x14ac:dyDescent="0.35">
      <c r="A9" s="34" t="s">
        <v>156</v>
      </c>
      <c r="B9" s="34" t="s">
        <v>199</v>
      </c>
      <c r="C9" s="34">
        <v>6.3E-2</v>
      </c>
      <c r="D9" s="34">
        <v>4.8899999999999997</v>
      </c>
      <c r="E9" s="34">
        <v>4.88</v>
      </c>
      <c r="F9" s="34">
        <v>2.36</v>
      </c>
      <c r="G9" s="34">
        <v>4.8600000000000003</v>
      </c>
      <c r="H9" s="34">
        <v>4.84</v>
      </c>
      <c r="I9" s="34">
        <v>2.35</v>
      </c>
      <c r="J9" s="34">
        <v>4.8899999999999997</v>
      </c>
      <c r="K9" s="34">
        <v>4.84</v>
      </c>
      <c r="L9" s="34">
        <v>2.36</v>
      </c>
      <c r="M9" s="34">
        <f t="shared" si="0"/>
        <v>4.88</v>
      </c>
      <c r="N9" s="34">
        <f t="shared" si="1"/>
        <v>4.8533333333333326</v>
      </c>
      <c r="O9" s="34">
        <f t="shared" si="2"/>
        <v>2.3566666666666669</v>
      </c>
      <c r="P9" s="34">
        <f t="shared" si="3"/>
        <v>1.7320508075688402E-2</v>
      </c>
      <c r="Q9" s="34">
        <f t="shared" si="4"/>
        <v>2.3094010767585053E-2</v>
      </c>
      <c r="R9" s="34">
        <f t="shared" si="5"/>
        <v>5.7735026918961348E-3</v>
      </c>
      <c r="S9" s="34">
        <f t="shared" si="6"/>
        <v>56.317151999999993</v>
      </c>
      <c r="T9" s="34">
        <f t="shared" si="7"/>
        <v>55.277640000000005</v>
      </c>
      <c r="U9" s="34">
        <f t="shared" si="8"/>
        <v>55.855535999999987</v>
      </c>
      <c r="V9" s="34">
        <f t="shared" si="9"/>
        <v>55.816775999999997</v>
      </c>
      <c r="W9" s="36">
        <f t="shared" si="10"/>
        <v>1.1186645233764664E-3</v>
      </c>
      <c r="X9" s="36">
        <f t="shared" si="11"/>
        <v>1.1397013331249308E-3</v>
      </c>
      <c r="Y9" s="36">
        <f t="shared" si="12"/>
        <v>1.1279096847266851E-3</v>
      </c>
      <c r="Z9" s="36">
        <f t="shared" si="13"/>
        <v>1.1287585137426941E-3</v>
      </c>
      <c r="AA9" s="36">
        <f t="shared" si="14"/>
        <v>55.815921777777774</v>
      </c>
      <c r="AB9" s="34">
        <f t="shared" si="15"/>
        <v>1.1287101958259238E-3</v>
      </c>
      <c r="AC9" s="34">
        <f t="shared" si="16"/>
        <v>1128.7101958259238</v>
      </c>
      <c r="AD9" s="35">
        <f t="shared" si="17"/>
        <v>93.244977777777777</v>
      </c>
    </row>
    <row r="10" spans="1:30" x14ac:dyDescent="0.35">
      <c r="A10" s="34" t="s">
        <v>156</v>
      </c>
      <c r="B10" s="34" t="s">
        <v>198</v>
      </c>
      <c r="C10" s="34">
        <v>6.2E-2</v>
      </c>
      <c r="D10" s="34">
        <v>4.87</v>
      </c>
      <c r="E10" s="34">
        <v>4.8600000000000003</v>
      </c>
      <c r="F10" s="34">
        <v>2.34</v>
      </c>
      <c r="G10" s="34">
        <v>4.8600000000000003</v>
      </c>
      <c r="H10" s="34">
        <v>4.84</v>
      </c>
      <c r="I10" s="34">
        <v>2.33</v>
      </c>
      <c r="J10" s="34">
        <v>4.8600000000000003</v>
      </c>
      <c r="K10" s="34">
        <v>4.84</v>
      </c>
      <c r="L10" s="34">
        <v>2.33</v>
      </c>
      <c r="M10" s="34">
        <f t="shared" si="0"/>
        <v>4.8633333333333333</v>
      </c>
      <c r="N10" s="34">
        <f t="shared" si="1"/>
        <v>4.8466666666666667</v>
      </c>
      <c r="O10" s="34">
        <f t="shared" si="2"/>
        <v>2.3333333333333335</v>
      </c>
      <c r="P10" s="34">
        <f t="shared" si="3"/>
        <v>5.7735026918961348E-3</v>
      </c>
      <c r="Q10" s="34">
        <f t="shared" si="4"/>
        <v>1.1547005383792781E-2</v>
      </c>
      <c r="R10" s="34">
        <f t="shared" si="5"/>
        <v>5.7735026918961348E-3</v>
      </c>
      <c r="S10" s="34">
        <f t="shared" si="6"/>
        <v>55.383588000000003</v>
      </c>
      <c r="T10" s="34">
        <f t="shared" si="7"/>
        <v>54.807192000000008</v>
      </c>
      <c r="U10" s="34">
        <f t="shared" si="8"/>
        <v>54.807192000000008</v>
      </c>
      <c r="V10" s="34">
        <f t="shared" si="9"/>
        <v>54.999324000000009</v>
      </c>
      <c r="W10" s="36">
        <f t="shared" si="10"/>
        <v>1.1194652105240995E-3</v>
      </c>
      <c r="X10" s="36">
        <f t="shared" si="11"/>
        <v>1.1312383965958336E-3</v>
      </c>
      <c r="Y10" s="36">
        <f t="shared" si="12"/>
        <v>1.1312383965958336E-3</v>
      </c>
      <c r="Z10" s="36">
        <f t="shared" si="13"/>
        <v>1.1273140012385888E-3</v>
      </c>
      <c r="AA10" s="36">
        <f t="shared" si="14"/>
        <v>54.998896296296302</v>
      </c>
      <c r="AB10" s="34">
        <f t="shared" si="15"/>
        <v>1.1272953490918537E-3</v>
      </c>
      <c r="AC10" s="34">
        <f t="shared" si="16"/>
        <v>1127.2953490918537</v>
      </c>
      <c r="AD10" s="35">
        <f t="shared" si="17"/>
        <v>92.455244444444446</v>
      </c>
    </row>
    <row r="11" spans="1:30" x14ac:dyDescent="0.35">
      <c r="A11" s="34" t="s">
        <v>156</v>
      </c>
      <c r="B11" s="34" t="s">
        <v>197</v>
      </c>
      <c r="C11" s="34">
        <v>6.2E-2</v>
      </c>
      <c r="D11" s="34">
        <v>4.88</v>
      </c>
      <c r="E11" s="34">
        <v>4.88</v>
      </c>
      <c r="F11" s="34">
        <v>2.34</v>
      </c>
      <c r="G11" s="34">
        <v>4.8600000000000003</v>
      </c>
      <c r="H11" s="34">
        <v>4.83</v>
      </c>
      <c r="I11" s="34">
        <v>2.33</v>
      </c>
      <c r="J11" s="34">
        <v>4.87</v>
      </c>
      <c r="K11" s="34">
        <v>4.83</v>
      </c>
      <c r="L11" s="34">
        <v>2.33</v>
      </c>
      <c r="M11" s="34">
        <f t="shared" si="0"/>
        <v>4.87</v>
      </c>
      <c r="N11" s="34">
        <f t="shared" si="1"/>
        <v>4.8466666666666667</v>
      </c>
      <c r="O11" s="34">
        <f t="shared" si="2"/>
        <v>2.3333333333333335</v>
      </c>
      <c r="P11" s="34">
        <f t="shared" si="3"/>
        <v>9.9999999999997868E-3</v>
      </c>
      <c r="Q11" s="34">
        <f t="shared" si="4"/>
        <v>2.8867513459481187E-2</v>
      </c>
      <c r="R11" s="34">
        <f t="shared" si="5"/>
        <v>5.7735026918961348E-3</v>
      </c>
      <c r="S11" s="34">
        <f t="shared" si="6"/>
        <v>55.725695999999992</v>
      </c>
      <c r="T11" s="34">
        <f t="shared" si="7"/>
        <v>54.693954000000005</v>
      </c>
      <c r="U11" s="34">
        <f t="shared" si="8"/>
        <v>54.806493000000003</v>
      </c>
      <c r="V11" s="34">
        <f t="shared" si="9"/>
        <v>55.075380999999993</v>
      </c>
      <c r="W11" s="36">
        <f t="shared" si="10"/>
        <v>1.1125926538450056E-3</v>
      </c>
      <c r="X11" s="36">
        <f t="shared" si="11"/>
        <v>1.1335805050773984E-3</v>
      </c>
      <c r="Y11" s="36">
        <f t="shared" si="12"/>
        <v>1.1312528243688205E-3</v>
      </c>
      <c r="Z11" s="36">
        <f t="shared" si="13"/>
        <v>1.1258086610970747E-3</v>
      </c>
      <c r="AA11" s="36">
        <f t="shared" si="14"/>
        <v>55.074288888888894</v>
      </c>
      <c r="AB11" s="34">
        <f t="shared" si="15"/>
        <v>1.125752165862433E-3</v>
      </c>
      <c r="AC11" s="34">
        <f t="shared" si="16"/>
        <v>1125.752165862433</v>
      </c>
      <c r="AD11" s="35">
        <f t="shared" si="17"/>
        <v>92.550977777777788</v>
      </c>
    </row>
    <row r="12" spans="1:30" x14ac:dyDescent="0.35">
      <c r="A12" s="34" t="s">
        <v>156</v>
      </c>
      <c r="B12" s="34" t="s">
        <v>196</v>
      </c>
      <c r="C12" s="34">
        <v>5.8000000000000003E-2</v>
      </c>
      <c r="D12" s="34">
        <v>4.83</v>
      </c>
      <c r="E12" s="34">
        <v>3.83</v>
      </c>
      <c r="F12" s="34">
        <v>2.84</v>
      </c>
      <c r="G12" s="34">
        <v>4.82</v>
      </c>
      <c r="H12" s="34">
        <v>3.83</v>
      </c>
      <c r="I12" s="34">
        <v>2.83</v>
      </c>
      <c r="J12" s="34">
        <v>4.79</v>
      </c>
      <c r="K12" s="34">
        <v>3.82</v>
      </c>
      <c r="L12" s="34">
        <v>2.83</v>
      </c>
      <c r="M12" s="34">
        <f t="shared" si="0"/>
        <v>4.8133333333333335</v>
      </c>
      <c r="N12" s="34">
        <f t="shared" si="1"/>
        <v>3.8266666666666667</v>
      </c>
      <c r="O12" s="34">
        <f t="shared" si="2"/>
        <v>2.8333333333333335</v>
      </c>
      <c r="P12" s="34">
        <f t="shared" si="3"/>
        <v>2.0816659994661382E-2</v>
      </c>
      <c r="Q12" s="34">
        <f t="shared" si="4"/>
        <v>5.7735026918963907E-3</v>
      </c>
      <c r="R12" s="34">
        <f t="shared" si="5"/>
        <v>5.7735026918961348E-3</v>
      </c>
      <c r="S12" s="34">
        <f t="shared" si="6"/>
        <v>52.536875999999992</v>
      </c>
      <c r="T12" s="34">
        <f t="shared" si="7"/>
        <v>52.24349800000001</v>
      </c>
      <c r="U12" s="34">
        <f t="shared" si="8"/>
        <v>51.782773999999996</v>
      </c>
      <c r="V12" s="34">
        <f t="shared" si="9"/>
        <v>52.187715999999995</v>
      </c>
      <c r="W12" s="36">
        <f t="shared" si="10"/>
        <v>1.1039864646691215E-3</v>
      </c>
      <c r="X12" s="36">
        <f t="shared" si="11"/>
        <v>1.1101859986480996E-3</v>
      </c>
      <c r="Y12" s="36">
        <f t="shared" si="12"/>
        <v>1.1200635948935452E-3</v>
      </c>
      <c r="Z12" s="36">
        <f t="shared" si="13"/>
        <v>1.1114120194035888E-3</v>
      </c>
      <c r="AA12" s="36">
        <f t="shared" si="14"/>
        <v>52.187229629629627</v>
      </c>
      <c r="AB12" s="34">
        <f t="shared" si="15"/>
        <v>1.1113830033060452E-3</v>
      </c>
      <c r="AC12" s="34">
        <f t="shared" si="16"/>
        <v>1111.3830033060451</v>
      </c>
      <c r="AD12" s="35">
        <f t="shared" si="17"/>
        <v>85.798044444444443</v>
      </c>
    </row>
    <row r="13" spans="1:30" x14ac:dyDescent="0.35">
      <c r="A13" s="34" t="s">
        <v>156</v>
      </c>
      <c r="B13" s="34" t="s">
        <v>195</v>
      </c>
      <c r="C13" s="34">
        <v>0.06</v>
      </c>
      <c r="D13" s="34">
        <v>4.82</v>
      </c>
      <c r="E13" s="34">
        <v>3.87</v>
      </c>
      <c r="F13" s="34">
        <v>2.88</v>
      </c>
      <c r="G13" s="34">
        <v>4.84</v>
      </c>
      <c r="H13" s="34">
        <v>3.84</v>
      </c>
      <c r="I13" s="34">
        <v>2.89</v>
      </c>
      <c r="J13" s="34">
        <v>4.83</v>
      </c>
      <c r="K13" s="34">
        <v>3.86</v>
      </c>
      <c r="L13" s="34">
        <v>2.87</v>
      </c>
      <c r="M13" s="34">
        <f t="shared" si="0"/>
        <v>4.83</v>
      </c>
      <c r="N13" s="34">
        <f t="shared" si="1"/>
        <v>3.8566666666666669</v>
      </c>
      <c r="O13" s="34">
        <f t="shared" si="2"/>
        <v>2.8800000000000003</v>
      </c>
      <c r="P13" s="34">
        <f t="shared" si="3"/>
        <v>9.9999999999997868E-3</v>
      </c>
      <c r="Q13" s="34">
        <f t="shared" si="4"/>
        <v>1.5275252316519577E-2</v>
      </c>
      <c r="R13" s="34">
        <f t="shared" si="5"/>
        <v>1.0000000000000009E-2</v>
      </c>
      <c r="S13" s="34">
        <f t="shared" si="6"/>
        <v>53.721792000000001</v>
      </c>
      <c r="T13" s="34">
        <f t="shared" si="7"/>
        <v>53.712384</v>
      </c>
      <c r="U13" s="34">
        <f t="shared" si="8"/>
        <v>53.507705999999999</v>
      </c>
      <c r="V13" s="34">
        <f t="shared" si="9"/>
        <v>53.647294000000009</v>
      </c>
      <c r="W13" s="36">
        <f t="shared" si="10"/>
        <v>1.1168652006247296E-3</v>
      </c>
      <c r="X13" s="36">
        <f t="shared" si="11"/>
        <v>1.1170608253024106E-3</v>
      </c>
      <c r="Y13" s="36">
        <f t="shared" si="12"/>
        <v>1.1213338131146942E-3</v>
      </c>
      <c r="Z13" s="36">
        <f t="shared" si="13"/>
        <v>1.1184199463472782E-3</v>
      </c>
      <c r="AA13" s="36">
        <f t="shared" si="14"/>
        <v>53.647776000000007</v>
      </c>
      <c r="AB13" s="34">
        <f t="shared" si="15"/>
        <v>1.1184061013079086E-3</v>
      </c>
      <c r="AC13" s="34">
        <f t="shared" si="16"/>
        <v>1118.4061013079086</v>
      </c>
      <c r="AD13" s="35">
        <f t="shared" si="17"/>
        <v>87.290600000000012</v>
      </c>
    </row>
    <row r="14" spans="1:30" x14ac:dyDescent="0.35">
      <c r="A14" s="34" t="s">
        <v>156</v>
      </c>
      <c r="B14" s="34" t="s">
        <v>194</v>
      </c>
      <c r="C14" s="34">
        <v>5.8000000000000003E-2</v>
      </c>
      <c r="D14" s="34">
        <v>4.79</v>
      </c>
      <c r="E14" s="34">
        <v>3.83</v>
      </c>
      <c r="F14" s="34">
        <v>2.85</v>
      </c>
      <c r="G14" s="34">
        <v>4.78</v>
      </c>
      <c r="H14" s="34">
        <v>3.82</v>
      </c>
      <c r="I14" s="34">
        <v>2.84</v>
      </c>
      <c r="J14" s="34">
        <v>4.79</v>
      </c>
      <c r="K14" s="34">
        <v>3.83</v>
      </c>
      <c r="L14" s="34">
        <v>2.85</v>
      </c>
      <c r="M14" s="34">
        <f t="shared" si="0"/>
        <v>4.7866666666666662</v>
      </c>
      <c r="N14" s="34">
        <f t="shared" si="1"/>
        <v>3.8266666666666667</v>
      </c>
      <c r="O14" s="34">
        <f t="shared" si="2"/>
        <v>2.8466666666666662</v>
      </c>
      <c r="P14" s="34">
        <f t="shared" si="3"/>
        <v>5.7735026918961348E-3</v>
      </c>
      <c r="Q14" s="34">
        <f t="shared" si="4"/>
        <v>5.7735026918963907E-3</v>
      </c>
      <c r="R14" s="34">
        <f t="shared" si="5"/>
        <v>5.7735026918963907E-3</v>
      </c>
      <c r="S14" s="34">
        <f t="shared" si="6"/>
        <v>52.285245000000003</v>
      </c>
      <c r="T14" s="34">
        <f t="shared" si="7"/>
        <v>51.857263999999994</v>
      </c>
      <c r="U14" s="34">
        <f t="shared" si="8"/>
        <v>52.285245000000003</v>
      </c>
      <c r="V14" s="34">
        <f t="shared" si="9"/>
        <v>52.142584666666664</v>
      </c>
      <c r="W14" s="36">
        <f t="shared" si="10"/>
        <v>1.1092995739046456E-3</v>
      </c>
      <c r="X14" s="36">
        <f t="shared" si="11"/>
        <v>1.1184546874667357E-3</v>
      </c>
      <c r="Y14" s="36">
        <f t="shared" si="12"/>
        <v>1.1092995739046456E-3</v>
      </c>
      <c r="Z14" s="36">
        <f t="shared" si="13"/>
        <v>1.1123512784253422E-3</v>
      </c>
      <c r="AA14" s="36">
        <f t="shared" si="14"/>
        <v>52.14233007407406</v>
      </c>
      <c r="AB14" s="34">
        <f t="shared" si="15"/>
        <v>1.1123400108434829E-3</v>
      </c>
      <c r="AC14" s="34">
        <f t="shared" si="16"/>
        <v>1112.3400108434828</v>
      </c>
      <c r="AD14" s="35">
        <f t="shared" si="17"/>
        <v>85.67253333333332</v>
      </c>
    </row>
    <row r="15" spans="1:30" x14ac:dyDescent="0.35">
      <c r="A15" s="34" t="s">
        <v>156</v>
      </c>
      <c r="B15" s="34" t="s">
        <v>193</v>
      </c>
      <c r="C15" s="34">
        <v>7.5999999999999998E-2</v>
      </c>
      <c r="D15" s="34">
        <v>4.8499999999999996</v>
      </c>
      <c r="E15" s="34">
        <v>4.84</v>
      </c>
      <c r="F15" s="34">
        <v>2.87</v>
      </c>
      <c r="G15" s="34">
        <v>4.8499999999999996</v>
      </c>
      <c r="H15" s="34">
        <v>4.8499999999999996</v>
      </c>
      <c r="I15" s="34">
        <v>2.85</v>
      </c>
      <c r="J15" s="34">
        <v>4.8600000000000003</v>
      </c>
      <c r="K15" s="34">
        <v>4.83</v>
      </c>
      <c r="L15" s="34">
        <v>2.85</v>
      </c>
      <c r="M15" s="34">
        <f t="shared" si="0"/>
        <v>4.8533333333333326</v>
      </c>
      <c r="N15" s="34">
        <f t="shared" si="1"/>
        <v>4.84</v>
      </c>
      <c r="O15" s="34">
        <f t="shared" si="2"/>
        <v>2.8566666666666669</v>
      </c>
      <c r="P15" s="34">
        <f t="shared" si="3"/>
        <v>5.7735026918966474E-3</v>
      </c>
      <c r="Q15" s="34">
        <f t="shared" si="4"/>
        <v>9.9999999999997868E-3</v>
      </c>
      <c r="R15" s="34">
        <f t="shared" si="5"/>
        <v>1.1547005383792526E-2</v>
      </c>
      <c r="S15" s="34">
        <f t="shared" si="6"/>
        <v>67.370379999999997</v>
      </c>
      <c r="T15" s="34">
        <f t="shared" si="7"/>
        <v>67.039124999999999</v>
      </c>
      <c r="U15" s="34">
        <f t="shared" si="8"/>
        <v>66.900330000000011</v>
      </c>
      <c r="V15" s="34">
        <f t="shared" si="9"/>
        <v>67.103278333333336</v>
      </c>
      <c r="W15" s="36">
        <f t="shared" si="10"/>
        <v>1.1280921971940786E-3</v>
      </c>
      <c r="X15" s="36">
        <f t="shared" si="11"/>
        <v>1.1336663478230063E-3</v>
      </c>
      <c r="Y15" s="36">
        <f t="shared" si="12"/>
        <v>1.1360183126151991E-3</v>
      </c>
      <c r="Z15" s="36">
        <f t="shared" si="13"/>
        <v>1.1325922858774278E-3</v>
      </c>
      <c r="AA15" s="36">
        <f t="shared" si="14"/>
        <v>67.103480888888882</v>
      </c>
      <c r="AB15" s="34">
        <f t="shared" si="15"/>
        <v>1.1325791001191448E-3</v>
      </c>
      <c r="AC15" s="34">
        <f t="shared" si="16"/>
        <v>1132.5791001191449</v>
      </c>
      <c r="AD15" s="35">
        <f t="shared" si="17"/>
        <v>102.3615111111111</v>
      </c>
    </row>
    <row r="16" spans="1:30" x14ac:dyDescent="0.35">
      <c r="A16" s="34" t="s">
        <v>156</v>
      </c>
      <c r="B16" s="34" t="s">
        <v>192</v>
      </c>
      <c r="C16" s="34">
        <v>4.5999999999999999E-2</v>
      </c>
      <c r="D16" s="34">
        <v>3.84</v>
      </c>
      <c r="E16" s="34">
        <v>3.83</v>
      </c>
      <c r="F16" s="34">
        <v>2.86</v>
      </c>
      <c r="G16" s="34">
        <v>3.84</v>
      </c>
      <c r="H16" s="34">
        <v>3.84</v>
      </c>
      <c r="I16" s="34">
        <v>2.85</v>
      </c>
      <c r="J16" s="34">
        <v>3.83</v>
      </c>
      <c r="K16" s="34">
        <v>3.82</v>
      </c>
      <c r="L16" s="34">
        <v>2.85</v>
      </c>
      <c r="M16" s="34">
        <f t="shared" si="0"/>
        <v>3.8366666666666664</v>
      </c>
      <c r="N16" s="34">
        <f t="shared" si="1"/>
        <v>3.83</v>
      </c>
      <c r="O16" s="34">
        <f t="shared" si="2"/>
        <v>2.8533333333333335</v>
      </c>
      <c r="P16" s="34">
        <f t="shared" si="3"/>
        <v>5.7735026918961348E-3</v>
      </c>
      <c r="Q16" s="34">
        <f t="shared" si="4"/>
        <v>1.0000000000000009E-2</v>
      </c>
      <c r="R16" s="34">
        <f t="shared" si="5"/>
        <v>5.7735026918961348E-3</v>
      </c>
      <c r="S16" s="34">
        <f t="shared" si="6"/>
        <v>42.062592000000002</v>
      </c>
      <c r="T16" s="34">
        <f t="shared" si="7"/>
        <v>42.02496</v>
      </c>
      <c r="U16" s="34">
        <f t="shared" si="8"/>
        <v>41.697209999999998</v>
      </c>
      <c r="V16" s="34">
        <f t="shared" si="9"/>
        <v>41.928254000000003</v>
      </c>
      <c r="W16" s="36">
        <f t="shared" si="10"/>
        <v>1.0936083064020401E-3</v>
      </c>
      <c r="X16" s="36">
        <f t="shared" si="11"/>
        <v>1.0945875974658868E-3</v>
      </c>
      <c r="Y16" s="36">
        <f t="shared" si="12"/>
        <v>1.1031913166372523E-3</v>
      </c>
      <c r="Z16" s="36">
        <f t="shared" si="13"/>
        <v>1.0971290735017265E-3</v>
      </c>
      <c r="AA16" s="36">
        <f t="shared" si="14"/>
        <v>41.928116444444441</v>
      </c>
      <c r="AB16" s="34">
        <f t="shared" si="15"/>
        <v>1.097115823482099E-3</v>
      </c>
      <c r="AC16" s="34">
        <f t="shared" si="16"/>
        <v>1097.1158234820989</v>
      </c>
      <c r="AD16" s="35">
        <f t="shared" si="17"/>
        <v>73.139977777777773</v>
      </c>
    </row>
    <row r="17" spans="1:30" x14ac:dyDescent="0.35">
      <c r="A17" s="34" t="s">
        <v>156</v>
      </c>
      <c r="B17" s="34" t="s">
        <v>191</v>
      </c>
      <c r="C17" s="34">
        <v>4.7E-2</v>
      </c>
      <c r="D17" s="34">
        <v>3.81</v>
      </c>
      <c r="E17" s="34">
        <v>3.81</v>
      </c>
      <c r="F17" s="34">
        <v>2.86</v>
      </c>
      <c r="G17" s="34">
        <v>3.89</v>
      </c>
      <c r="H17" s="34">
        <v>3.81</v>
      </c>
      <c r="I17" s="34">
        <v>2.84</v>
      </c>
      <c r="J17" s="34">
        <v>3.87</v>
      </c>
      <c r="K17" s="34">
        <v>3.8</v>
      </c>
      <c r="L17" s="34">
        <v>2.86</v>
      </c>
      <c r="M17" s="34">
        <f t="shared" si="0"/>
        <v>3.8566666666666669</v>
      </c>
      <c r="N17" s="34">
        <f t="shared" si="1"/>
        <v>3.8066666666666666</v>
      </c>
      <c r="O17" s="34">
        <f t="shared" si="2"/>
        <v>2.8533333333333331</v>
      </c>
      <c r="P17" s="34">
        <f t="shared" si="3"/>
        <v>4.1633319989322688E-2</v>
      </c>
      <c r="Q17" s="34">
        <f t="shared" si="4"/>
        <v>5.7735026918963907E-3</v>
      </c>
      <c r="R17" s="34">
        <f t="shared" si="5"/>
        <v>1.1547005383792526E-2</v>
      </c>
      <c r="S17" s="34">
        <f t="shared" si="6"/>
        <v>41.516045999999996</v>
      </c>
      <c r="T17" s="34">
        <f t="shared" si="7"/>
        <v>42.091355999999998</v>
      </c>
      <c r="U17" s="34">
        <f t="shared" si="8"/>
        <v>42.059159999999999</v>
      </c>
      <c r="V17" s="34">
        <f t="shared" si="9"/>
        <v>41.888854000000002</v>
      </c>
      <c r="W17" s="36">
        <f t="shared" si="10"/>
        <v>1.1320923962749247E-3</v>
      </c>
      <c r="X17" s="36">
        <f t="shared" si="11"/>
        <v>1.1166188136110418E-3</v>
      </c>
      <c r="Y17" s="36">
        <f t="shared" si="12"/>
        <v>1.1174735776938959E-3</v>
      </c>
      <c r="Z17" s="36">
        <f t="shared" si="13"/>
        <v>1.1220615958599542E-3</v>
      </c>
      <c r="AA17" s="36">
        <f t="shared" si="14"/>
        <v>41.889913481481479</v>
      </c>
      <c r="AB17" s="34">
        <f t="shared" si="15"/>
        <v>1.1219884715392781E-3</v>
      </c>
      <c r="AC17" s="34">
        <f t="shared" si="16"/>
        <v>1121.9884715392782</v>
      </c>
      <c r="AD17" s="35">
        <f t="shared" si="17"/>
        <v>73.094177777777773</v>
      </c>
    </row>
    <row r="18" spans="1:30" x14ac:dyDescent="0.35">
      <c r="A18" s="34" t="s">
        <v>156</v>
      </c>
      <c r="B18" s="34" t="s">
        <v>190</v>
      </c>
      <c r="C18" s="34">
        <v>3.4000000000000002E-2</v>
      </c>
      <c r="D18" s="34">
        <v>3.84</v>
      </c>
      <c r="E18" s="34">
        <v>2.86</v>
      </c>
      <c r="F18" s="34">
        <v>2.76</v>
      </c>
      <c r="G18" s="34">
        <v>3.88</v>
      </c>
      <c r="H18" s="34">
        <v>2.86</v>
      </c>
      <c r="I18" s="34">
        <v>2.73</v>
      </c>
      <c r="J18" s="34">
        <v>3.8</v>
      </c>
      <c r="K18" s="34">
        <v>2.85</v>
      </c>
      <c r="L18" s="34">
        <v>2.78</v>
      </c>
      <c r="M18" s="34">
        <f t="shared" si="0"/>
        <v>3.84</v>
      </c>
      <c r="N18" s="34">
        <f t="shared" si="1"/>
        <v>2.8566666666666669</v>
      </c>
      <c r="O18" s="34">
        <f t="shared" si="2"/>
        <v>2.7566666666666664</v>
      </c>
      <c r="P18" s="34">
        <f t="shared" si="3"/>
        <v>4.0000000000000036E-2</v>
      </c>
      <c r="Q18" s="34">
        <f t="shared" si="4"/>
        <v>5.7735026918961348E-3</v>
      </c>
      <c r="R18" s="34">
        <f t="shared" si="5"/>
        <v>2.5166114784235735E-2</v>
      </c>
      <c r="S18" s="34">
        <f t="shared" si="6"/>
        <v>30.311423999999992</v>
      </c>
      <c r="T18" s="34">
        <f t="shared" si="7"/>
        <v>30.294263999999998</v>
      </c>
      <c r="U18" s="34">
        <f t="shared" si="8"/>
        <v>30.107399999999998</v>
      </c>
      <c r="V18" s="34">
        <f t="shared" si="9"/>
        <v>30.237695999999996</v>
      </c>
      <c r="W18" s="36">
        <f t="shared" si="10"/>
        <v>1.1216893010371275E-3</v>
      </c>
      <c r="X18" s="36">
        <f t="shared" si="11"/>
        <v>1.1223246750605991E-3</v>
      </c>
      <c r="Y18" s="36">
        <f t="shared" si="12"/>
        <v>1.1292904734384239E-3</v>
      </c>
      <c r="Z18" s="36">
        <f t="shared" si="13"/>
        <v>1.1244348165120501E-3</v>
      </c>
      <c r="AA18" s="36">
        <f t="shared" si="14"/>
        <v>30.239530666666663</v>
      </c>
      <c r="AB18" s="34">
        <f t="shared" si="15"/>
        <v>1.124356074662182E-3</v>
      </c>
      <c r="AC18" s="34">
        <f t="shared" si="16"/>
        <v>1124.356074662182</v>
      </c>
      <c r="AD18" s="35">
        <f t="shared" si="17"/>
        <v>58.860155555555551</v>
      </c>
    </row>
    <row r="19" spans="1:30" x14ac:dyDescent="0.35">
      <c r="A19" s="34" t="s">
        <v>156</v>
      </c>
      <c r="B19" s="34" t="s">
        <v>189</v>
      </c>
      <c r="C19" s="34">
        <v>7.4999999999999997E-2</v>
      </c>
      <c r="D19" s="34">
        <v>4.8499999999999996</v>
      </c>
      <c r="E19" s="34">
        <v>4.83</v>
      </c>
      <c r="F19" s="34">
        <v>2.87</v>
      </c>
      <c r="G19" s="34">
        <v>4.83</v>
      </c>
      <c r="H19" s="34">
        <v>4.8099999999999996</v>
      </c>
      <c r="I19" s="34">
        <v>2.87</v>
      </c>
      <c r="J19" s="34">
        <v>4.82</v>
      </c>
      <c r="K19" s="34">
        <v>4.8099999999999996</v>
      </c>
      <c r="L19" s="34">
        <v>2.86</v>
      </c>
      <c r="M19" s="34">
        <f t="shared" si="0"/>
        <v>4.833333333333333</v>
      </c>
      <c r="N19" s="34">
        <f t="shared" si="1"/>
        <v>4.8166666666666664</v>
      </c>
      <c r="O19" s="34">
        <f t="shared" si="2"/>
        <v>2.8666666666666667</v>
      </c>
      <c r="P19" s="34">
        <f t="shared" si="3"/>
        <v>1.5275252316519142E-2</v>
      </c>
      <c r="Q19" s="34">
        <f t="shared" si="4"/>
        <v>1.1547005383792781E-2</v>
      </c>
      <c r="R19" s="34">
        <f t="shared" si="5"/>
        <v>5.7735026918963907E-3</v>
      </c>
      <c r="S19" s="34">
        <f t="shared" si="6"/>
        <v>67.231184999999996</v>
      </c>
      <c r="T19" s="34">
        <f t="shared" si="7"/>
        <v>66.676700999999994</v>
      </c>
      <c r="U19" s="34">
        <f t="shared" si="8"/>
        <v>66.306811999999994</v>
      </c>
      <c r="V19" s="34">
        <f t="shared" si="9"/>
        <v>66.738232666666661</v>
      </c>
      <c r="W19" s="36">
        <f t="shared" si="10"/>
        <v>1.115553741913072E-3</v>
      </c>
      <c r="X19" s="36">
        <f t="shared" si="11"/>
        <v>1.1248306961077754E-3</v>
      </c>
      <c r="Y19" s="36">
        <f t="shared" si="12"/>
        <v>1.1311055039111217E-3</v>
      </c>
      <c r="Z19" s="36">
        <f t="shared" si="13"/>
        <v>1.1238299806439896E-3</v>
      </c>
      <c r="AA19" s="36">
        <f t="shared" si="14"/>
        <v>66.737592592592577</v>
      </c>
      <c r="AB19" s="34">
        <f t="shared" si="15"/>
        <v>1.1238043969887593E-3</v>
      </c>
      <c r="AC19" s="34">
        <f t="shared" si="16"/>
        <v>1123.8043969887592</v>
      </c>
      <c r="AD19" s="35">
        <f t="shared" si="17"/>
        <v>101.88777777777777</v>
      </c>
    </row>
    <row r="20" spans="1:30" x14ac:dyDescent="0.35">
      <c r="A20" s="34" t="s">
        <v>156</v>
      </c>
      <c r="B20" s="34" t="s">
        <v>188</v>
      </c>
      <c r="C20" s="34">
        <v>2.8000000000000001E-2</v>
      </c>
      <c r="D20" s="34">
        <v>3.79</v>
      </c>
      <c r="E20" s="34">
        <v>2.79</v>
      </c>
      <c r="F20" s="34">
        <v>2.33</v>
      </c>
      <c r="G20" s="34">
        <v>3.83</v>
      </c>
      <c r="H20" s="34">
        <v>2.82</v>
      </c>
      <c r="I20" s="34">
        <v>2.3199999999999998</v>
      </c>
      <c r="J20" s="34">
        <v>3.85</v>
      </c>
      <c r="K20" s="34">
        <v>2.82</v>
      </c>
      <c r="L20" s="34">
        <v>2.34</v>
      </c>
      <c r="M20" s="34">
        <f t="shared" si="0"/>
        <v>3.8233333333333337</v>
      </c>
      <c r="N20" s="34">
        <f t="shared" si="1"/>
        <v>2.81</v>
      </c>
      <c r="O20" s="34">
        <f t="shared" si="2"/>
        <v>2.33</v>
      </c>
      <c r="P20" s="34">
        <f t="shared" si="3"/>
        <v>3.0550504633038961E-2</v>
      </c>
      <c r="Q20" s="34">
        <f t="shared" si="4"/>
        <v>1.7320508075688659E-2</v>
      </c>
      <c r="R20" s="34">
        <f t="shared" si="5"/>
        <v>1.0000000000000009E-2</v>
      </c>
      <c r="S20" s="34">
        <f t="shared" si="6"/>
        <v>24.637653</v>
      </c>
      <c r="T20" s="34">
        <f t="shared" si="7"/>
        <v>25.057391999999997</v>
      </c>
      <c r="U20" s="34">
        <f t="shared" si="8"/>
        <v>25.405379999999997</v>
      </c>
      <c r="V20" s="34">
        <f t="shared" si="9"/>
        <v>25.033474999999996</v>
      </c>
      <c r="W20" s="36">
        <f t="shared" si="10"/>
        <v>1.1364718871558098E-3</v>
      </c>
      <c r="X20" s="36">
        <f t="shared" si="11"/>
        <v>1.1174347274448995E-3</v>
      </c>
      <c r="Y20" s="36">
        <f t="shared" si="12"/>
        <v>1.10212876170323E-3</v>
      </c>
      <c r="Z20" s="36">
        <f t="shared" si="13"/>
        <v>1.1186784587679797E-3</v>
      </c>
      <c r="AA20" s="36">
        <f t="shared" si="14"/>
        <v>25.032510333333338</v>
      </c>
      <c r="AB20" s="34">
        <f t="shared" si="15"/>
        <v>1.1185454286106954E-3</v>
      </c>
      <c r="AC20" s="34">
        <f t="shared" si="16"/>
        <v>1118.5454286106954</v>
      </c>
      <c r="AD20" s="35">
        <f t="shared" si="17"/>
        <v>52.398466666666664</v>
      </c>
    </row>
    <row r="21" spans="1:30" x14ac:dyDescent="0.35">
      <c r="A21" s="34" t="s">
        <v>156</v>
      </c>
      <c r="B21" s="34" t="s">
        <v>187</v>
      </c>
      <c r="C21" s="34">
        <v>7.4999999999999997E-2</v>
      </c>
      <c r="D21" s="34">
        <v>4.82</v>
      </c>
      <c r="E21" s="34">
        <v>4.79</v>
      </c>
      <c r="F21" s="34">
        <v>2.86</v>
      </c>
      <c r="G21" s="34">
        <v>4.82</v>
      </c>
      <c r="H21" s="34">
        <v>4.8099999999999996</v>
      </c>
      <c r="I21" s="34">
        <v>2.86</v>
      </c>
      <c r="J21" s="34">
        <v>4.8099999999999996</v>
      </c>
      <c r="K21" s="34">
        <v>4.8099999999999996</v>
      </c>
      <c r="L21" s="34">
        <v>2.86</v>
      </c>
      <c r="M21" s="34">
        <f t="shared" si="0"/>
        <v>4.8166666666666664</v>
      </c>
      <c r="N21" s="34">
        <f t="shared" si="1"/>
        <v>4.8033333333333337</v>
      </c>
      <c r="O21" s="34">
        <f t="shared" si="2"/>
        <v>2.86</v>
      </c>
      <c r="P21" s="34">
        <f t="shared" si="3"/>
        <v>5.7735026918966474E-3</v>
      </c>
      <c r="Q21" s="34">
        <f t="shared" si="4"/>
        <v>1.154700538379227E-2</v>
      </c>
      <c r="R21" s="34">
        <f t="shared" si="5"/>
        <v>0</v>
      </c>
      <c r="S21" s="34">
        <f t="shared" si="6"/>
        <v>66.031108000000003</v>
      </c>
      <c r="T21" s="34">
        <f t="shared" si="7"/>
        <v>66.306811999999994</v>
      </c>
      <c r="U21" s="34">
        <f t="shared" si="8"/>
        <v>66.169245999999987</v>
      </c>
      <c r="V21" s="34">
        <f t="shared" si="9"/>
        <v>66.169055333333333</v>
      </c>
      <c r="W21" s="36">
        <f t="shared" si="10"/>
        <v>1.1358282826330886E-3</v>
      </c>
      <c r="X21" s="36">
        <f t="shared" si="11"/>
        <v>1.1311055039111217E-3</v>
      </c>
      <c r="Y21" s="36">
        <f t="shared" si="12"/>
        <v>1.1334570746053237E-3</v>
      </c>
      <c r="Z21" s="36">
        <f t="shared" si="13"/>
        <v>1.1334636203831781E-3</v>
      </c>
      <c r="AA21" s="36">
        <f t="shared" si="14"/>
        <v>66.169118888888889</v>
      </c>
      <c r="AB21" s="34">
        <f t="shared" si="15"/>
        <v>1.1334592519803674E-3</v>
      </c>
      <c r="AC21" s="34">
        <f t="shared" si="16"/>
        <v>1133.4592519803675</v>
      </c>
      <c r="AD21" s="35">
        <f t="shared" si="17"/>
        <v>101.29851111111111</v>
      </c>
    </row>
    <row r="22" spans="1:30" x14ac:dyDescent="0.35">
      <c r="A22" s="34" t="s">
        <v>156</v>
      </c>
      <c r="B22" s="34" t="s">
        <v>186</v>
      </c>
      <c r="C22" s="34">
        <v>7.4999999999999997E-2</v>
      </c>
      <c r="D22" s="34">
        <v>4.83</v>
      </c>
      <c r="E22" s="34">
        <v>4.79</v>
      </c>
      <c r="F22" s="34">
        <v>2.88</v>
      </c>
      <c r="G22" s="34">
        <v>4.82</v>
      </c>
      <c r="H22" s="34">
        <v>4.82</v>
      </c>
      <c r="I22" s="34">
        <v>2.86</v>
      </c>
      <c r="J22" s="34">
        <v>4.84</v>
      </c>
      <c r="K22" s="34">
        <v>4.74</v>
      </c>
      <c r="L22" s="34">
        <v>2.86</v>
      </c>
      <c r="M22" s="34">
        <f t="shared" si="0"/>
        <v>4.83</v>
      </c>
      <c r="N22" s="34">
        <f t="shared" si="1"/>
        <v>4.7833333333333332</v>
      </c>
      <c r="O22" s="34">
        <f t="shared" si="2"/>
        <v>2.8666666666666667</v>
      </c>
      <c r="P22" s="34">
        <f t="shared" si="3"/>
        <v>9.9999999999997868E-3</v>
      </c>
      <c r="Q22" s="34">
        <f t="shared" si="4"/>
        <v>4.0414518843273822E-2</v>
      </c>
      <c r="R22" s="34">
        <f t="shared" si="5"/>
        <v>1.1547005383792526E-2</v>
      </c>
      <c r="S22" s="34">
        <f t="shared" si="6"/>
        <v>66.630815999999996</v>
      </c>
      <c r="T22" s="34">
        <f t="shared" si="7"/>
        <v>66.444664000000003</v>
      </c>
      <c r="U22" s="34">
        <f t="shared" si="8"/>
        <v>65.612976000000003</v>
      </c>
      <c r="V22" s="34">
        <f t="shared" si="9"/>
        <v>66.229485333333329</v>
      </c>
      <c r="W22" s="36">
        <f t="shared" si="10"/>
        <v>1.1256053055090907E-3</v>
      </c>
      <c r="X22" s="36">
        <f t="shared" si="11"/>
        <v>1.1287588119942933E-3</v>
      </c>
      <c r="Y22" s="36">
        <f t="shared" si="12"/>
        <v>1.1430665787816117E-3</v>
      </c>
      <c r="Z22" s="36">
        <f t="shared" si="13"/>
        <v>1.1324768987616652E-3</v>
      </c>
      <c r="AA22" s="36">
        <f t="shared" si="14"/>
        <v>66.230033333333338</v>
      </c>
      <c r="AB22" s="34">
        <f t="shared" si="15"/>
        <v>1.1324167635931531E-3</v>
      </c>
      <c r="AC22" s="34">
        <f t="shared" si="16"/>
        <v>1132.4167635931531</v>
      </c>
      <c r="AD22" s="35">
        <f t="shared" si="17"/>
        <v>101.32344444444445</v>
      </c>
    </row>
    <row r="23" spans="1:30" x14ac:dyDescent="0.35">
      <c r="A23" s="34" t="s">
        <v>156</v>
      </c>
      <c r="B23" s="34" t="s">
        <v>185</v>
      </c>
      <c r="C23" s="34">
        <v>4.7E-2</v>
      </c>
      <c r="D23" s="34">
        <v>3.83</v>
      </c>
      <c r="E23" s="34">
        <v>3.81</v>
      </c>
      <c r="F23" s="34">
        <v>2.86</v>
      </c>
      <c r="G23" s="34">
        <v>3.82</v>
      </c>
      <c r="H23" s="34">
        <v>3.78</v>
      </c>
      <c r="I23" s="34">
        <v>2.85</v>
      </c>
      <c r="J23" s="34">
        <v>3.84</v>
      </c>
      <c r="K23" s="34">
        <v>3.78</v>
      </c>
      <c r="L23" s="34">
        <v>2.85</v>
      </c>
      <c r="M23" s="34">
        <f t="shared" si="0"/>
        <v>3.83</v>
      </c>
      <c r="N23" s="34">
        <f t="shared" si="1"/>
        <v>3.7899999999999996</v>
      </c>
      <c r="O23" s="34">
        <f t="shared" si="2"/>
        <v>2.8533333333333335</v>
      </c>
      <c r="P23" s="34">
        <f t="shared" si="3"/>
        <v>1.0000000000000009E-2</v>
      </c>
      <c r="Q23" s="34">
        <f t="shared" si="4"/>
        <v>1.7320508075688915E-2</v>
      </c>
      <c r="R23" s="34">
        <f t="shared" si="5"/>
        <v>5.7735026918961348E-3</v>
      </c>
      <c r="S23" s="34">
        <f t="shared" si="6"/>
        <v>41.733978</v>
      </c>
      <c r="T23" s="34">
        <f t="shared" si="7"/>
        <v>41.152859999999997</v>
      </c>
      <c r="U23" s="34">
        <f t="shared" si="8"/>
        <v>41.368319999999997</v>
      </c>
      <c r="V23" s="34">
        <f t="shared" si="9"/>
        <v>41.418385999999998</v>
      </c>
      <c r="W23" s="36">
        <f t="shared" si="10"/>
        <v>1.1261806866338024E-3</v>
      </c>
      <c r="X23" s="36">
        <f t="shared" si="11"/>
        <v>1.1420834420742569E-3</v>
      </c>
      <c r="Y23" s="36">
        <f t="shared" si="12"/>
        <v>1.1361350908134535E-3</v>
      </c>
      <c r="Z23" s="36">
        <f t="shared" si="13"/>
        <v>1.1347997398405043E-3</v>
      </c>
      <c r="AA23" s="36">
        <f t="shared" si="14"/>
        <v>41.418130666666663</v>
      </c>
      <c r="AB23" s="34">
        <f t="shared" si="15"/>
        <v>1.1347687412127856E-3</v>
      </c>
      <c r="AC23" s="34">
        <f t="shared" si="16"/>
        <v>1134.7687412127855</v>
      </c>
      <c r="AD23" s="35">
        <f t="shared" si="17"/>
        <v>72.516199999999998</v>
      </c>
    </row>
    <row r="24" spans="1:30" x14ac:dyDescent="0.35">
      <c r="A24" s="34" t="s">
        <v>156</v>
      </c>
      <c r="B24" s="34" t="s">
        <v>184</v>
      </c>
      <c r="C24" s="34">
        <v>2.5000000000000001E-2</v>
      </c>
      <c r="D24" s="34">
        <v>2.88</v>
      </c>
      <c r="E24" s="34">
        <v>2.83</v>
      </c>
      <c r="F24" s="34">
        <v>2.77</v>
      </c>
      <c r="G24" s="34">
        <v>2.85</v>
      </c>
      <c r="H24" s="34">
        <v>2.84</v>
      </c>
      <c r="I24" s="34">
        <v>2.82</v>
      </c>
      <c r="J24" s="34">
        <v>2.86</v>
      </c>
      <c r="K24" s="34">
        <v>2.79</v>
      </c>
      <c r="L24" s="34">
        <v>2.77</v>
      </c>
      <c r="M24" s="34">
        <f t="shared" si="0"/>
        <v>2.8633333333333333</v>
      </c>
      <c r="N24" s="34">
        <f t="shared" si="1"/>
        <v>2.8200000000000003</v>
      </c>
      <c r="O24" s="34">
        <f t="shared" si="2"/>
        <v>2.7866666666666666</v>
      </c>
      <c r="P24" s="34">
        <f t="shared" si="3"/>
        <v>1.5275252316519385E-2</v>
      </c>
      <c r="Q24" s="34">
        <f t="shared" si="4"/>
        <v>2.6457513110645845E-2</v>
      </c>
      <c r="R24" s="34">
        <f t="shared" si="5"/>
        <v>2.8867513459481187E-2</v>
      </c>
      <c r="S24" s="34">
        <f t="shared" si="6"/>
        <v>22.576608</v>
      </c>
      <c r="T24" s="34">
        <f t="shared" si="7"/>
        <v>22.825079999999996</v>
      </c>
      <c r="U24" s="34">
        <f t="shared" si="8"/>
        <v>22.102938000000002</v>
      </c>
      <c r="V24" s="34">
        <f t="shared" si="9"/>
        <v>22.501542000000001</v>
      </c>
      <c r="W24" s="36">
        <f t="shared" si="10"/>
        <v>1.1073408370291941E-3</v>
      </c>
      <c r="X24" s="36">
        <f t="shared" si="11"/>
        <v>1.0952864130158583E-3</v>
      </c>
      <c r="Y24" s="36">
        <f t="shared" si="12"/>
        <v>1.131071353500607E-3</v>
      </c>
      <c r="Z24" s="36">
        <f t="shared" si="13"/>
        <v>1.111232867848553E-3</v>
      </c>
      <c r="AA24" s="36">
        <f t="shared" si="14"/>
        <v>22.501218666666666</v>
      </c>
      <c r="AB24" s="34">
        <f t="shared" si="15"/>
        <v>1.1110509333005609E-3</v>
      </c>
      <c r="AC24" s="34">
        <f t="shared" si="16"/>
        <v>1111.0509333005609</v>
      </c>
      <c r="AD24" s="35">
        <f t="shared" si="17"/>
        <v>47.824311111111108</v>
      </c>
    </row>
    <row r="25" spans="1:30" x14ac:dyDescent="0.35">
      <c r="A25" s="34" t="s">
        <v>156</v>
      </c>
      <c r="B25" s="34" t="s">
        <v>183</v>
      </c>
      <c r="C25" s="34">
        <v>0.03</v>
      </c>
      <c r="D25" s="34">
        <v>4.84</v>
      </c>
      <c r="E25" s="34">
        <v>4.84</v>
      </c>
      <c r="F25" s="34">
        <v>1.07</v>
      </c>
      <c r="G25" s="34">
        <v>4.82</v>
      </c>
      <c r="H25" s="34">
        <v>4.8</v>
      </c>
      <c r="I25" s="34">
        <v>1.01</v>
      </c>
      <c r="J25" s="34">
        <v>4.82</v>
      </c>
      <c r="K25" s="34">
        <v>4.8099999999999996</v>
      </c>
      <c r="L25" s="34">
        <v>1</v>
      </c>
      <c r="M25" s="34">
        <f t="shared" si="0"/>
        <v>4.8266666666666671</v>
      </c>
      <c r="N25" s="34">
        <f t="shared" si="1"/>
        <v>4.8166666666666664</v>
      </c>
      <c r="O25" s="34">
        <f t="shared" si="2"/>
        <v>1.0266666666666666</v>
      </c>
      <c r="P25" s="34">
        <f t="shared" si="3"/>
        <v>1.154700538379227E-2</v>
      </c>
      <c r="Q25" s="34">
        <f t="shared" si="4"/>
        <v>2.0816659994661379E-2</v>
      </c>
      <c r="R25" s="34">
        <f t="shared" si="5"/>
        <v>3.7859388972001862E-2</v>
      </c>
      <c r="S25" s="34">
        <f t="shared" si="6"/>
        <v>25.065391999999999</v>
      </c>
      <c r="T25" s="34">
        <f t="shared" si="7"/>
        <v>23.367359999999998</v>
      </c>
      <c r="U25" s="34">
        <f t="shared" si="8"/>
        <v>23.184200000000001</v>
      </c>
      <c r="V25" s="34">
        <f t="shared" si="9"/>
        <v>23.872317333333331</v>
      </c>
      <c r="W25" s="36">
        <f t="shared" si="10"/>
        <v>1.196869372719166E-3</v>
      </c>
      <c r="X25" s="36">
        <f t="shared" si="11"/>
        <v>1.2838420771537735E-3</v>
      </c>
      <c r="Y25" s="36">
        <f t="shared" si="12"/>
        <v>1.2939846964743229E-3</v>
      </c>
      <c r="Z25" s="36">
        <f t="shared" si="13"/>
        <v>1.2582320487824208E-3</v>
      </c>
      <c r="AA25" s="36">
        <f t="shared" si="14"/>
        <v>23.868402962962961</v>
      </c>
      <c r="AB25" s="34">
        <f t="shared" si="15"/>
        <v>1.2568918015399501E-3</v>
      </c>
      <c r="AC25" s="34">
        <f t="shared" si="16"/>
        <v>1256.8918015399502</v>
      </c>
      <c r="AD25" s="35">
        <f t="shared" si="17"/>
        <v>66.297866666666664</v>
      </c>
    </row>
    <row r="26" spans="1:30" x14ac:dyDescent="0.35">
      <c r="A26" s="34" t="s">
        <v>156</v>
      </c>
      <c r="B26" s="34" t="s">
        <v>182</v>
      </c>
      <c r="C26" s="37">
        <v>1.8599999999999998E-2</v>
      </c>
      <c r="D26" s="37">
        <v>3.77</v>
      </c>
      <c r="E26" s="37">
        <v>3.76</v>
      </c>
      <c r="F26" s="37">
        <v>0.98</v>
      </c>
      <c r="G26" s="34">
        <v>3.78</v>
      </c>
      <c r="H26" s="34">
        <v>3.76</v>
      </c>
      <c r="I26" s="34">
        <v>0.98</v>
      </c>
      <c r="J26" s="34">
        <v>3.77</v>
      </c>
      <c r="K26" s="34">
        <v>3.76</v>
      </c>
      <c r="L26" s="34">
        <v>1</v>
      </c>
      <c r="M26" s="34">
        <f t="shared" si="0"/>
        <v>3.7733333333333334</v>
      </c>
      <c r="N26" s="34">
        <f t="shared" si="1"/>
        <v>3.76</v>
      </c>
      <c r="O26" s="34">
        <f t="shared" si="2"/>
        <v>0.98666666666666669</v>
      </c>
      <c r="P26" s="34">
        <f t="shared" si="3"/>
        <v>5.7735026918961348E-3</v>
      </c>
      <c r="Q26" s="34">
        <f t="shared" si="4"/>
        <v>0</v>
      </c>
      <c r="R26" s="34">
        <f t="shared" si="5"/>
        <v>1.1547005383792525E-2</v>
      </c>
      <c r="S26" s="34">
        <f t="shared" si="6"/>
        <v>13.891695999999998</v>
      </c>
      <c r="T26" s="34">
        <f t="shared" si="7"/>
        <v>13.928543999999997</v>
      </c>
      <c r="U26" s="34">
        <f t="shared" si="8"/>
        <v>14.175199999999998</v>
      </c>
      <c r="V26" s="34">
        <f t="shared" si="9"/>
        <v>13.998479999999999</v>
      </c>
      <c r="W26" s="36">
        <f t="shared" si="10"/>
        <v>1.3389293863038754E-3</v>
      </c>
      <c r="X26" s="36">
        <f t="shared" si="11"/>
        <v>1.3353872450702674E-3</v>
      </c>
      <c r="Y26" s="36">
        <f t="shared" si="12"/>
        <v>1.3121507985777978E-3</v>
      </c>
      <c r="Z26" s="36">
        <f t="shared" si="13"/>
        <v>1.328822476650647E-3</v>
      </c>
      <c r="AA26" s="36">
        <f t="shared" si="14"/>
        <v>13.998563555555554</v>
      </c>
      <c r="AB26" s="34">
        <f t="shared" si="15"/>
        <v>1.3287077582055404E-3</v>
      </c>
      <c r="AC26" s="34">
        <f t="shared" si="16"/>
        <v>1328.7077582055404</v>
      </c>
      <c r="AD26" s="35">
        <f t="shared" si="17"/>
        <v>43.24124444444444</v>
      </c>
    </row>
    <row r="27" spans="1:30" x14ac:dyDescent="0.35">
      <c r="A27" s="34" t="s">
        <v>156</v>
      </c>
      <c r="B27" s="34" t="s">
        <v>181</v>
      </c>
      <c r="C27" s="34">
        <v>2.9000000000000001E-2</v>
      </c>
      <c r="D27" s="34">
        <v>3.83</v>
      </c>
      <c r="E27" s="34">
        <v>2.81</v>
      </c>
      <c r="F27" s="34">
        <v>2.33</v>
      </c>
      <c r="G27" s="34">
        <v>3.85</v>
      </c>
      <c r="H27" s="34">
        <v>2.81</v>
      </c>
      <c r="I27" s="34">
        <v>2.3199999999999998</v>
      </c>
      <c r="J27" s="34">
        <v>3.87</v>
      </c>
      <c r="K27" s="34">
        <v>2.82</v>
      </c>
      <c r="L27" s="34">
        <v>2.33</v>
      </c>
      <c r="M27" s="34">
        <f t="shared" si="0"/>
        <v>3.85</v>
      </c>
      <c r="N27" s="34">
        <f t="shared" si="1"/>
        <v>2.813333333333333</v>
      </c>
      <c r="O27" s="34">
        <f t="shared" si="2"/>
        <v>2.3266666666666667</v>
      </c>
      <c r="P27" s="34">
        <f t="shared" si="3"/>
        <v>2.0000000000000018E-2</v>
      </c>
      <c r="Q27" s="34">
        <f t="shared" si="4"/>
        <v>5.7735026918961348E-3</v>
      </c>
      <c r="R27" s="34">
        <f t="shared" si="5"/>
        <v>5.7735026918963907E-3</v>
      </c>
      <c r="S27" s="34">
        <f t="shared" si="6"/>
        <v>25.076159000000001</v>
      </c>
      <c r="T27" s="34">
        <f t="shared" si="7"/>
        <v>25.09892</v>
      </c>
      <c r="U27" s="34">
        <f t="shared" si="8"/>
        <v>25.428221999999998</v>
      </c>
      <c r="V27" s="34">
        <f t="shared" si="9"/>
        <v>25.201100333333329</v>
      </c>
      <c r="W27" s="36">
        <f t="shared" si="10"/>
        <v>1.1564769548637812E-3</v>
      </c>
      <c r="X27" s="36">
        <f t="shared" si="11"/>
        <v>1.1554282016915469E-3</v>
      </c>
      <c r="Y27" s="36">
        <f t="shared" si="12"/>
        <v>1.1404651099868486E-3</v>
      </c>
      <c r="Z27" s="36">
        <f t="shared" si="13"/>
        <v>1.1507900888473924E-3</v>
      </c>
      <c r="AA27" s="36">
        <f t="shared" si="14"/>
        <v>25.200902222222222</v>
      </c>
      <c r="AB27" s="34">
        <f t="shared" si="15"/>
        <v>1.1507524510145405E-3</v>
      </c>
      <c r="AC27" s="34">
        <f t="shared" si="16"/>
        <v>1150.7524510145404</v>
      </c>
      <c r="AD27" s="35">
        <f t="shared" si="17"/>
        <v>52.669377777777783</v>
      </c>
    </row>
    <row r="28" spans="1:30" x14ac:dyDescent="0.35">
      <c r="A28" s="34" t="s">
        <v>156</v>
      </c>
      <c r="B28" s="34" t="s">
        <v>180</v>
      </c>
      <c r="C28" s="34">
        <v>0.03</v>
      </c>
      <c r="D28" s="34">
        <v>4.8099999999999996</v>
      </c>
      <c r="E28" s="34">
        <v>4.78</v>
      </c>
      <c r="F28" s="34">
        <v>1.05</v>
      </c>
      <c r="G28" s="34">
        <v>4.82</v>
      </c>
      <c r="H28" s="34">
        <v>4.76</v>
      </c>
      <c r="I28" s="34">
        <v>1.04</v>
      </c>
      <c r="J28" s="34">
        <v>4.8099999999999996</v>
      </c>
      <c r="K28" s="34">
        <v>4.76</v>
      </c>
      <c r="L28" s="34">
        <v>1</v>
      </c>
      <c r="M28" s="34">
        <f t="shared" si="0"/>
        <v>4.8133333333333326</v>
      </c>
      <c r="N28" s="34">
        <f t="shared" si="1"/>
        <v>4.7666666666666666</v>
      </c>
      <c r="O28" s="34">
        <f t="shared" si="2"/>
        <v>1.03</v>
      </c>
      <c r="P28" s="34">
        <f t="shared" si="3"/>
        <v>5.7735026918966474E-3</v>
      </c>
      <c r="Q28" s="34">
        <f t="shared" si="4"/>
        <v>1.1547005383792781E-2</v>
      </c>
      <c r="R28" s="34">
        <f t="shared" si="5"/>
        <v>2.6457513110645928E-2</v>
      </c>
      <c r="S28" s="34">
        <f t="shared" si="6"/>
        <v>24.141389999999998</v>
      </c>
      <c r="T28" s="34">
        <f t="shared" si="7"/>
        <v>23.860928000000001</v>
      </c>
      <c r="U28" s="34">
        <f t="shared" si="8"/>
        <v>22.895599999999998</v>
      </c>
      <c r="V28" s="34">
        <f t="shared" si="9"/>
        <v>23.632639333333334</v>
      </c>
      <c r="W28" s="36">
        <f t="shared" si="10"/>
        <v>1.2426790669468495E-3</v>
      </c>
      <c r="X28" s="36">
        <f t="shared" si="11"/>
        <v>1.2572855506709545E-3</v>
      </c>
      <c r="Y28" s="36">
        <f t="shared" si="12"/>
        <v>1.3102954279424867E-3</v>
      </c>
      <c r="Z28" s="36">
        <f t="shared" si="13"/>
        <v>1.2700866818534304E-3</v>
      </c>
      <c r="AA28" s="36">
        <f t="shared" si="14"/>
        <v>23.631862222222217</v>
      </c>
      <c r="AB28" s="34">
        <f t="shared" si="15"/>
        <v>1.2694725332220965E-3</v>
      </c>
      <c r="AC28" s="34">
        <f t="shared" si="16"/>
        <v>1269.4725332220964</v>
      </c>
      <c r="AD28" s="35">
        <f t="shared" si="17"/>
        <v>65.621911111111103</v>
      </c>
    </row>
    <row r="29" spans="1:30" x14ac:dyDescent="0.35">
      <c r="A29" s="34" t="s">
        <v>156</v>
      </c>
      <c r="B29" s="34" t="s">
        <v>179</v>
      </c>
      <c r="C29" s="34">
        <v>1.6E-2</v>
      </c>
      <c r="D29" s="34">
        <v>2.89</v>
      </c>
      <c r="E29" s="34">
        <v>2.75</v>
      </c>
      <c r="F29" s="34">
        <v>1.8</v>
      </c>
      <c r="G29" s="34">
        <v>2.88</v>
      </c>
      <c r="H29" s="34">
        <v>2.78</v>
      </c>
      <c r="I29" s="34">
        <v>1.8</v>
      </c>
      <c r="J29" s="34">
        <v>2.87</v>
      </c>
      <c r="K29" s="34">
        <v>2.81</v>
      </c>
      <c r="L29" s="34">
        <v>1.79</v>
      </c>
      <c r="M29" s="34">
        <f t="shared" si="0"/>
        <v>2.8800000000000003</v>
      </c>
      <c r="N29" s="34">
        <f t="shared" si="1"/>
        <v>2.78</v>
      </c>
      <c r="O29" s="34">
        <f t="shared" si="2"/>
        <v>1.7966666666666669</v>
      </c>
      <c r="P29" s="34">
        <f t="shared" si="3"/>
        <v>1.0000000000000009E-2</v>
      </c>
      <c r="Q29" s="34">
        <f t="shared" si="4"/>
        <v>3.0000000000000027E-2</v>
      </c>
      <c r="R29" s="34">
        <f t="shared" si="5"/>
        <v>5.7735026918962632E-3</v>
      </c>
      <c r="S29" s="34">
        <f t="shared" si="6"/>
        <v>14.305500000000002</v>
      </c>
      <c r="T29" s="34">
        <f t="shared" si="7"/>
        <v>14.411519999999999</v>
      </c>
      <c r="U29" s="34">
        <f t="shared" si="8"/>
        <v>14.435813000000001</v>
      </c>
      <c r="V29" s="34">
        <f t="shared" si="9"/>
        <v>14.384277666666668</v>
      </c>
      <c r="W29" s="36">
        <f t="shared" si="10"/>
        <v>1.1184509454405646E-3</v>
      </c>
      <c r="X29" s="36">
        <f t="shared" si="11"/>
        <v>1.1102229327648993E-3</v>
      </c>
      <c r="Y29" s="36">
        <f t="shared" si="12"/>
        <v>1.1083546177828708E-3</v>
      </c>
      <c r="Z29" s="36">
        <f t="shared" si="13"/>
        <v>1.1123428319961114E-3</v>
      </c>
      <c r="AA29" s="36">
        <f t="shared" si="14"/>
        <v>14.384832000000003</v>
      </c>
      <c r="AB29" s="34">
        <f t="shared" si="15"/>
        <v>1.1122827155715129E-3</v>
      </c>
      <c r="AC29" s="34">
        <f t="shared" si="16"/>
        <v>1112.2827155715129</v>
      </c>
      <c r="AD29" s="35">
        <f t="shared" si="17"/>
        <v>36.351066666666675</v>
      </c>
    </row>
    <row r="30" spans="1:30" x14ac:dyDescent="0.35">
      <c r="A30" s="34" t="s">
        <v>156</v>
      </c>
      <c r="B30" s="34" t="s">
        <v>178</v>
      </c>
      <c r="C30" s="34">
        <v>3.5000000000000003E-2</v>
      </c>
      <c r="D30" s="34">
        <v>3.87</v>
      </c>
      <c r="E30" s="34">
        <v>2.87</v>
      </c>
      <c r="F30" s="34">
        <v>2.82</v>
      </c>
      <c r="G30" s="34">
        <v>3.82</v>
      </c>
      <c r="H30" s="34">
        <v>2.87</v>
      </c>
      <c r="I30" s="34">
        <v>2.74</v>
      </c>
      <c r="J30" s="34">
        <v>3.83</v>
      </c>
      <c r="K30" s="34">
        <v>2.86</v>
      </c>
      <c r="L30" s="34">
        <v>2.79</v>
      </c>
      <c r="M30" s="34">
        <f t="shared" si="0"/>
        <v>3.84</v>
      </c>
      <c r="N30" s="34">
        <f t="shared" si="1"/>
        <v>2.8666666666666667</v>
      </c>
      <c r="O30" s="34">
        <f t="shared" si="2"/>
        <v>2.7833333333333337</v>
      </c>
      <c r="P30" s="34">
        <f t="shared" si="3"/>
        <v>2.6457513110646012E-2</v>
      </c>
      <c r="Q30" s="34">
        <f t="shared" si="4"/>
        <v>5.7735026918963907E-3</v>
      </c>
      <c r="R30" s="34">
        <f t="shared" si="5"/>
        <v>4.0414518843273621E-2</v>
      </c>
      <c r="S30" s="34">
        <f t="shared" si="6"/>
        <v>31.321458000000003</v>
      </c>
      <c r="T30" s="34">
        <f t="shared" si="7"/>
        <v>30.039716000000002</v>
      </c>
      <c r="U30" s="34">
        <f t="shared" si="8"/>
        <v>30.561101999999998</v>
      </c>
      <c r="V30" s="34">
        <f t="shared" si="9"/>
        <v>30.64075866666667</v>
      </c>
      <c r="W30" s="36">
        <f t="shared" si="10"/>
        <v>1.1174447881704612E-3</v>
      </c>
      <c r="X30" s="36">
        <f t="shared" si="11"/>
        <v>1.1651241975789651E-3</v>
      </c>
      <c r="Y30" s="36">
        <f t="shared" si="12"/>
        <v>1.1452466602807714E-3</v>
      </c>
      <c r="Z30" s="36">
        <f t="shared" si="13"/>
        <v>1.1426052153433992E-3</v>
      </c>
      <c r="AA30" s="36">
        <f t="shared" si="14"/>
        <v>30.638933333333334</v>
      </c>
      <c r="AB30" s="34">
        <f t="shared" si="15"/>
        <v>1.142337418186882E-3</v>
      </c>
      <c r="AC30" s="34">
        <f t="shared" si="16"/>
        <v>1142.3374181868821</v>
      </c>
      <c r="AD30" s="35">
        <f t="shared" si="17"/>
        <v>59.349777777777774</v>
      </c>
    </row>
    <row r="31" spans="1:30" x14ac:dyDescent="0.35">
      <c r="A31" s="34" t="s">
        <v>156</v>
      </c>
      <c r="B31" s="34" t="s">
        <v>177</v>
      </c>
      <c r="C31" s="34">
        <v>1.2999999999999999E-2</v>
      </c>
      <c r="D31" s="34">
        <v>2.83</v>
      </c>
      <c r="E31" s="34">
        <v>2.33</v>
      </c>
      <c r="F31" s="34">
        <v>1.84</v>
      </c>
      <c r="G31" s="34">
        <v>2.8</v>
      </c>
      <c r="H31" s="34">
        <v>2.31</v>
      </c>
      <c r="I31" s="34">
        <v>1.75</v>
      </c>
      <c r="J31" s="34">
        <v>2.82</v>
      </c>
      <c r="K31" s="34">
        <v>2.3199999999999998</v>
      </c>
      <c r="L31" s="34">
        <v>1.79</v>
      </c>
      <c r="M31" s="34">
        <f t="shared" si="0"/>
        <v>2.8166666666666664</v>
      </c>
      <c r="N31" s="34">
        <f t="shared" si="1"/>
        <v>2.3200000000000003</v>
      </c>
      <c r="O31" s="34">
        <f t="shared" si="2"/>
        <v>1.7933333333333332</v>
      </c>
      <c r="P31" s="34">
        <f t="shared" si="3"/>
        <v>1.5275252316519577E-2</v>
      </c>
      <c r="Q31" s="34">
        <f t="shared" si="4"/>
        <v>1.0000000000000009E-2</v>
      </c>
      <c r="R31" s="34">
        <f t="shared" si="5"/>
        <v>4.5092497528228984E-2</v>
      </c>
      <c r="S31" s="34">
        <f t="shared" si="6"/>
        <v>12.132776000000002</v>
      </c>
      <c r="T31" s="34">
        <f t="shared" si="7"/>
        <v>11.318999999999999</v>
      </c>
      <c r="U31" s="34">
        <f t="shared" si="8"/>
        <v>11.710895999999998</v>
      </c>
      <c r="V31" s="34">
        <f t="shared" si="9"/>
        <v>11.720890666666667</v>
      </c>
      <c r="W31" s="36">
        <f t="shared" si="10"/>
        <v>1.071477788759967E-3</v>
      </c>
      <c r="X31" s="36">
        <f t="shared" si="11"/>
        <v>1.1485113525929853E-3</v>
      </c>
      <c r="Y31" s="36">
        <f t="shared" si="12"/>
        <v>1.110077316031156E-3</v>
      </c>
      <c r="Z31" s="36">
        <f t="shared" si="13"/>
        <v>1.1100221524613695E-3</v>
      </c>
      <c r="AA31" s="36">
        <f t="shared" si="14"/>
        <v>11.718835555555556</v>
      </c>
      <c r="AB31" s="34">
        <f t="shared" si="15"/>
        <v>1.1093252344373994E-3</v>
      </c>
      <c r="AC31" s="34">
        <f t="shared" si="16"/>
        <v>1109.3252344373993</v>
      </c>
      <c r="AD31" s="35">
        <f t="shared" si="17"/>
        <v>31.492844444444444</v>
      </c>
    </row>
    <row r="32" spans="1:30" x14ac:dyDescent="0.35">
      <c r="A32" s="34" t="s">
        <v>156</v>
      </c>
      <c r="B32" s="34" t="s">
        <v>176</v>
      </c>
      <c r="C32" s="34">
        <v>2.9000000000000001E-2</v>
      </c>
      <c r="D32" s="34">
        <v>4.8499999999999996</v>
      </c>
      <c r="E32" s="34">
        <v>4.7699999999999996</v>
      </c>
      <c r="F32" s="34">
        <v>1.1000000000000001</v>
      </c>
      <c r="G32" s="34">
        <v>4.7699999999999996</v>
      </c>
      <c r="H32" s="34">
        <v>4.7300000000000004</v>
      </c>
      <c r="I32" s="34">
        <v>1.01</v>
      </c>
      <c r="J32" s="34">
        <v>4.8</v>
      </c>
      <c r="K32" s="34">
        <v>4.74</v>
      </c>
      <c r="L32" s="34">
        <v>1.01</v>
      </c>
      <c r="M32" s="34">
        <f t="shared" si="0"/>
        <v>4.8066666666666658</v>
      </c>
      <c r="N32" s="34">
        <f t="shared" si="1"/>
        <v>4.746666666666667</v>
      </c>
      <c r="O32" s="34">
        <f t="shared" si="2"/>
        <v>1.04</v>
      </c>
      <c r="P32" s="34">
        <f t="shared" si="3"/>
        <v>4.0414518843273822E-2</v>
      </c>
      <c r="Q32" s="34">
        <f t="shared" si="4"/>
        <v>2.0816659994660883E-2</v>
      </c>
      <c r="R32" s="34">
        <f t="shared" si="5"/>
        <v>5.1961524227066368E-2</v>
      </c>
      <c r="S32" s="34">
        <f t="shared" si="6"/>
        <v>25.447949999999999</v>
      </c>
      <c r="T32" s="34">
        <f t="shared" si="7"/>
        <v>22.787721000000001</v>
      </c>
      <c r="U32" s="34">
        <f t="shared" si="8"/>
        <v>22.979520000000001</v>
      </c>
      <c r="V32" s="34">
        <f t="shared" si="9"/>
        <v>23.738397000000003</v>
      </c>
      <c r="W32" s="36">
        <f t="shared" si="10"/>
        <v>1.139580987859533E-3</v>
      </c>
      <c r="X32" s="36">
        <f t="shared" si="11"/>
        <v>1.272615194823563E-3</v>
      </c>
      <c r="Y32" s="36">
        <f t="shared" si="12"/>
        <v>1.2619932879363886E-3</v>
      </c>
      <c r="Z32" s="36">
        <f t="shared" si="13"/>
        <v>1.2247298235398283E-3</v>
      </c>
      <c r="AA32" s="36">
        <f t="shared" si="14"/>
        <v>23.728270222222221</v>
      </c>
      <c r="AB32" s="34">
        <f t="shared" si="15"/>
        <v>1.222170842139207E-3</v>
      </c>
      <c r="AC32" s="34">
        <f t="shared" si="16"/>
        <v>1222.170842139207</v>
      </c>
      <c r="AD32" s="35">
        <f t="shared" si="17"/>
        <v>65.502222222222215</v>
      </c>
    </row>
    <row r="33" spans="1:30" x14ac:dyDescent="0.35">
      <c r="A33" s="34" t="s">
        <v>156</v>
      </c>
      <c r="B33" s="34" t="s">
        <v>175</v>
      </c>
      <c r="C33" s="34">
        <v>7.7000000000000002E-3</v>
      </c>
      <c r="D33" s="34">
        <v>2.34</v>
      </c>
      <c r="E33" s="34">
        <v>1.8</v>
      </c>
      <c r="F33" s="34">
        <v>1.75</v>
      </c>
      <c r="G33" s="34">
        <v>2.3199999999999998</v>
      </c>
      <c r="H33" s="34">
        <v>1.79</v>
      </c>
      <c r="I33" s="34">
        <v>1.76</v>
      </c>
      <c r="J33" s="34">
        <v>2.31</v>
      </c>
      <c r="K33" s="34">
        <v>1.8</v>
      </c>
      <c r="L33" s="34">
        <v>1.73</v>
      </c>
      <c r="M33" s="34">
        <f t="shared" si="0"/>
        <v>2.3233333333333337</v>
      </c>
      <c r="N33" s="34">
        <f t="shared" si="1"/>
        <v>1.7966666666666666</v>
      </c>
      <c r="O33" s="34">
        <f t="shared" si="2"/>
        <v>1.7466666666666668</v>
      </c>
      <c r="P33" s="34">
        <f t="shared" si="3"/>
        <v>1.5275252316519383E-2</v>
      </c>
      <c r="Q33" s="34">
        <f t="shared" si="4"/>
        <v>5.7735026918962632E-3</v>
      </c>
      <c r="R33" s="34">
        <f t="shared" si="5"/>
        <v>1.527525231651948E-2</v>
      </c>
      <c r="S33" s="34">
        <f t="shared" si="6"/>
        <v>7.3709999999999996</v>
      </c>
      <c r="T33" s="34">
        <f t="shared" si="7"/>
        <v>7.3089279999999999</v>
      </c>
      <c r="U33" s="34">
        <f t="shared" si="8"/>
        <v>7.193340000000001</v>
      </c>
      <c r="V33" s="34">
        <f t="shared" si="9"/>
        <v>7.2910893333333346</v>
      </c>
      <c r="W33" s="36">
        <f t="shared" si="10"/>
        <v>1.0446343779677114E-3</v>
      </c>
      <c r="X33" s="36">
        <f t="shared" si="11"/>
        <v>1.0535060681949528E-3</v>
      </c>
      <c r="Y33" s="36">
        <f t="shared" si="12"/>
        <v>1.0704345964461571E-3</v>
      </c>
      <c r="Z33" s="36">
        <f t="shared" si="13"/>
        <v>1.0561916808696072E-3</v>
      </c>
      <c r="AA33" s="36">
        <f t="shared" si="14"/>
        <v>7.291033037037038</v>
      </c>
      <c r="AB33" s="34">
        <f t="shared" si="15"/>
        <v>1.0560917720281186E-3</v>
      </c>
      <c r="AC33" s="34">
        <f t="shared" si="16"/>
        <v>1056.0917720281186</v>
      </c>
      <c r="AD33" s="35">
        <f t="shared" si="17"/>
        <v>22.741044444444448</v>
      </c>
    </row>
    <row r="34" spans="1:30" x14ac:dyDescent="0.35">
      <c r="A34" s="34" t="s">
        <v>156</v>
      </c>
      <c r="B34" s="34" t="s">
        <v>174</v>
      </c>
      <c r="C34" s="34">
        <v>1.2999999999999999E-2</v>
      </c>
      <c r="D34" s="34">
        <v>3.8</v>
      </c>
      <c r="E34" s="34">
        <v>2.76</v>
      </c>
      <c r="F34" s="34">
        <v>1.04</v>
      </c>
      <c r="G34" s="34">
        <v>3.75</v>
      </c>
      <c r="H34" s="34">
        <v>2.75</v>
      </c>
      <c r="I34" s="34">
        <v>1.01</v>
      </c>
      <c r="J34" s="34">
        <v>3.74</v>
      </c>
      <c r="K34" s="34">
        <v>2.74</v>
      </c>
      <c r="L34" s="34">
        <v>1.03</v>
      </c>
      <c r="M34" s="34">
        <f t="shared" si="0"/>
        <v>3.7633333333333332</v>
      </c>
      <c r="N34" s="34">
        <f t="shared" si="1"/>
        <v>2.75</v>
      </c>
      <c r="O34" s="34">
        <f t="shared" si="2"/>
        <v>1.0266666666666666</v>
      </c>
      <c r="P34" s="34">
        <f t="shared" si="3"/>
        <v>3.2145502536643007E-2</v>
      </c>
      <c r="Q34" s="34">
        <f t="shared" si="4"/>
        <v>9.9999999999997868E-3</v>
      </c>
      <c r="R34" s="34">
        <f t="shared" si="5"/>
        <v>1.527525231651948E-2</v>
      </c>
      <c r="S34" s="34">
        <f t="shared" si="6"/>
        <v>10.90752</v>
      </c>
      <c r="T34" s="34">
        <f t="shared" si="7"/>
        <v>10.415625</v>
      </c>
      <c r="U34" s="34">
        <f t="shared" si="8"/>
        <v>10.555028000000002</v>
      </c>
      <c r="V34" s="34">
        <f t="shared" si="9"/>
        <v>10.626057666666668</v>
      </c>
      <c r="W34" s="36">
        <f t="shared" si="10"/>
        <v>1.1918382913806255E-3</v>
      </c>
      <c r="X34" s="36">
        <f t="shared" si="11"/>
        <v>1.2481248124812481E-3</v>
      </c>
      <c r="Y34" s="36">
        <f t="shared" si="12"/>
        <v>1.2316405034643201E-3</v>
      </c>
      <c r="Z34" s="36">
        <f t="shared" si="13"/>
        <v>1.2238678691087314E-3</v>
      </c>
      <c r="AA34" s="36">
        <f t="shared" si="14"/>
        <v>10.625144444444445</v>
      </c>
      <c r="AB34" s="34">
        <f t="shared" si="15"/>
        <v>1.2235127783883722E-3</v>
      </c>
      <c r="AC34" s="34">
        <f t="shared" si="16"/>
        <v>1223.5127783883722</v>
      </c>
      <c r="AD34" s="35">
        <f t="shared" si="17"/>
        <v>34.072377777777774</v>
      </c>
    </row>
    <row r="35" spans="1:30" x14ac:dyDescent="0.35">
      <c r="A35" s="34" t="s">
        <v>156</v>
      </c>
      <c r="B35" s="34" t="s">
        <v>173</v>
      </c>
      <c r="C35" s="34">
        <v>6.2799999999999995E-2</v>
      </c>
      <c r="D35" s="34">
        <v>4.75</v>
      </c>
      <c r="E35" s="34">
        <v>4.76</v>
      </c>
      <c r="F35" s="34">
        <v>2.35</v>
      </c>
      <c r="G35" s="34">
        <v>4.78</v>
      </c>
      <c r="H35" s="34">
        <v>4.7699999999999996</v>
      </c>
      <c r="I35" s="34">
        <v>2.35</v>
      </c>
      <c r="J35" s="34">
        <v>4.74</v>
      </c>
      <c r="K35" s="34">
        <v>4.76</v>
      </c>
      <c r="L35" s="34">
        <v>2.35</v>
      </c>
      <c r="M35" s="34">
        <f t="shared" ref="M35:M52" si="18">AVERAGE(D35,G35,J35)</f>
        <v>4.7566666666666668</v>
      </c>
      <c r="N35" s="34">
        <f t="shared" ref="N35:N52" si="19">AVERAGE(E35,H35,K35)</f>
        <v>4.7633333333333328</v>
      </c>
      <c r="O35" s="34">
        <f t="shared" ref="O35:O52" si="20">AVERAGE(F35,I35,L35)</f>
        <v>2.35</v>
      </c>
      <c r="P35" s="34">
        <f t="shared" ref="P35:P52" si="21">_xlfn.STDEV.S(D35,G35,J35)</f>
        <v>2.0816659994661382E-2</v>
      </c>
      <c r="Q35" s="34">
        <f t="shared" ref="Q35:Q52" si="22">_xlfn.STDEV.S(E35,H35,K35)</f>
        <v>5.7735026918961348E-3</v>
      </c>
      <c r="R35" s="34">
        <f t="shared" ref="R35:R52" si="23">_xlfn.STDEV.S(F35,I35,L35)</f>
        <v>0</v>
      </c>
      <c r="S35" s="34">
        <f t="shared" ref="S35:S52" si="24">D35*E35*F35</f>
        <v>53.133499999999998</v>
      </c>
      <c r="T35" s="34">
        <f t="shared" ref="T35:T52" si="25">G35*H35*I35</f>
        <v>53.581409999999998</v>
      </c>
      <c r="U35" s="34">
        <f t="shared" ref="U35:U52" si="26">J35*K35*L35</f>
        <v>53.021640000000005</v>
      </c>
      <c r="V35" s="34">
        <f t="shared" ref="V35:V66" si="27">AVERAGE(S35:U35)</f>
        <v>53.245516666666674</v>
      </c>
      <c r="W35" s="36">
        <f t="shared" ref="W35:W52" si="28">C35/S35</f>
        <v>1.1819285384926646E-3</v>
      </c>
      <c r="X35" s="36">
        <f t="shared" ref="X35:X52" si="29">C35/T35</f>
        <v>1.1720482906291566E-3</v>
      </c>
      <c r="Y35" s="36">
        <f t="shared" ref="Y35:Y52" si="30">C35/U35</f>
        <v>1.1844220586160667E-3</v>
      </c>
      <c r="Z35" s="36">
        <f t="shared" ref="Z35:Z66" si="31">AVERAGE(W35:Y35)</f>
        <v>1.1794662959126294E-3</v>
      </c>
      <c r="AA35" s="36">
        <f t="shared" ref="AA35:AA52" si="32">M35*N35*O35</f>
        <v>53.245333888888887</v>
      </c>
      <c r="AB35" s="34">
        <f t="shared" ref="AB35:AB66" si="33">C35/AA35</f>
        <v>1.1794460737357673E-3</v>
      </c>
      <c r="AC35" s="34">
        <f t="shared" ref="AC35:AC66" si="34">AB35*10^6</f>
        <v>1179.4460737357672</v>
      </c>
      <c r="AD35" s="35">
        <f t="shared" ref="AD35:AD52" si="35">2*(M35*N35+N35*O35+M35*O35)</f>
        <v>90.059177777777776</v>
      </c>
    </row>
    <row r="36" spans="1:30" x14ac:dyDescent="0.35">
      <c r="A36" s="34" t="s">
        <v>156</v>
      </c>
      <c r="B36" s="34" t="s">
        <v>172</v>
      </c>
      <c r="C36" s="34">
        <v>5.8400000000000001E-2</v>
      </c>
      <c r="D36" s="34">
        <v>4.79</v>
      </c>
      <c r="E36" s="34">
        <v>3.82</v>
      </c>
      <c r="F36" s="34">
        <v>2.83</v>
      </c>
      <c r="G36" s="34">
        <v>4.8</v>
      </c>
      <c r="H36" s="34">
        <v>3.82</v>
      </c>
      <c r="I36" s="34">
        <v>2.82</v>
      </c>
      <c r="J36" s="34">
        <v>4.79</v>
      </c>
      <c r="K36" s="34">
        <v>3.81</v>
      </c>
      <c r="L36" s="34">
        <v>2.82</v>
      </c>
      <c r="M36" s="34">
        <f t="shared" si="18"/>
        <v>4.793333333333333</v>
      </c>
      <c r="N36" s="34">
        <f t="shared" si="19"/>
        <v>3.8166666666666664</v>
      </c>
      <c r="O36" s="34">
        <f t="shared" si="20"/>
        <v>2.8233333333333337</v>
      </c>
      <c r="P36" s="34">
        <f t="shared" si="21"/>
        <v>5.7735026918961348E-3</v>
      </c>
      <c r="Q36" s="34">
        <f t="shared" si="22"/>
        <v>5.7735026918961348E-3</v>
      </c>
      <c r="R36" s="34">
        <f t="shared" si="23"/>
        <v>5.7735026918963907E-3</v>
      </c>
      <c r="S36" s="34">
        <f t="shared" si="24"/>
        <v>51.782773999999996</v>
      </c>
      <c r="T36" s="34">
        <f t="shared" si="25"/>
        <v>51.707519999999995</v>
      </c>
      <c r="U36" s="34">
        <f t="shared" si="26"/>
        <v>51.464717999999998</v>
      </c>
      <c r="V36" s="34">
        <f t="shared" si="27"/>
        <v>51.651670666666661</v>
      </c>
      <c r="W36" s="36">
        <f t="shared" si="28"/>
        <v>1.1277881714100524E-3</v>
      </c>
      <c r="X36" s="36">
        <f t="shared" si="29"/>
        <v>1.1294295297859965E-3</v>
      </c>
      <c r="Y36" s="36">
        <f t="shared" si="30"/>
        <v>1.1347579909016504E-3</v>
      </c>
      <c r="Z36" s="36">
        <f t="shared" si="31"/>
        <v>1.1306585640325664E-3</v>
      </c>
      <c r="AA36" s="36">
        <f t="shared" si="32"/>
        <v>51.651628518518521</v>
      </c>
      <c r="AB36" s="34">
        <f t="shared" si="33"/>
        <v>1.1306516691736448E-3</v>
      </c>
      <c r="AC36" s="34">
        <f t="shared" si="34"/>
        <v>1130.6516691736447</v>
      </c>
      <c r="AD36" s="35">
        <f t="shared" si="35"/>
        <v>85.206911111111111</v>
      </c>
    </row>
    <row r="37" spans="1:30" x14ac:dyDescent="0.35">
      <c r="A37" s="34" t="s">
        <v>156</v>
      </c>
      <c r="B37" s="34" t="s">
        <v>171</v>
      </c>
      <c r="C37" s="34">
        <v>2.5000000000000001E-2</v>
      </c>
      <c r="D37" s="34">
        <v>2.86</v>
      </c>
      <c r="E37" s="34">
        <v>2.79</v>
      </c>
      <c r="F37" s="34">
        <v>2.84</v>
      </c>
      <c r="G37" s="34">
        <v>2.85</v>
      </c>
      <c r="H37" s="34">
        <v>2.79</v>
      </c>
      <c r="I37" s="34">
        <v>2.84</v>
      </c>
      <c r="J37" s="34">
        <v>2.84</v>
      </c>
      <c r="K37" s="34">
        <v>2.78</v>
      </c>
      <c r="L37" s="34">
        <v>2.84</v>
      </c>
      <c r="M37" s="34">
        <f t="shared" si="18"/>
        <v>2.85</v>
      </c>
      <c r="N37" s="34">
        <f t="shared" si="19"/>
        <v>2.7866666666666666</v>
      </c>
      <c r="O37" s="34">
        <f t="shared" si="20"/>
        <v>2.84</v>
      </c>
      <c r="P37" s="34">
        <f t="shared" si="21"/>
        <v>1.0000000000000009E-2</v>
      </c>
      <c r="Q37" s="34">
        <f t="shared" si="22"/>
        <v>5.7735026918963907E-3</v>
      </c>
      <c r="R37" s="34">
        <f t="shared" si="23"/>
        <v>0</v>
      </c>
      <c r="S37" s="34">
        <f t="shared" si="24"/>
        <v>22.661496</v>
      </c>
      <c r="T37" s="34">
        <f t="shared" si="25"/>
        <v>22.582259999999998</v>
      </c>
      <c r="U37" s="34">
        <f t="shared" si="26"/>
        <v>22.422367999999995</v>
      </c>
      <c r="V37" s="34">
        <f t="shared" si="27"/>
        <v>22.555374666666665</v>
      </c>
      <c r="W37" s="36">
        <f t="shared" si="28"/>
        <v>1.1031928342241837E-3</v>
      </c>
      <c r="X37" s="36">
        <f t="shared" si="29"/>
        <v>1.1070636862740933E-3</v>
      </c>
      <c r="Y37" s="36">
        <f t="shared" si="30"/>
        <v>1.1149580633053567E-3</v>
      </c>
      <c r="Z37" s="36">
        <f t="shared" si="31"/>
        <v>1.1084048612678779E-3</v>
      </c>
      <c r="AA37" s="36">
        <f t="shared" si="32"/>
        <v>22.55528</v>
      </c>
      <c r="AB37" s="34">
        <f t="shared" si="33"/>
        <v>1.1083879251332727E-3</v>
      </c>
      <c r="AC37" s="34">
        <f t="shared" si="34"/>
        <v>1108.3879251332726</v>
      </c>
      <c r="AD37" s="35">
        <f t="shared" si="35"/>
        <v>47.900266666666667</v>
      </c>
    </row>
    <row r="38" spans="1:30" x14ac:dyDescent="0.35">
      <c r="A38" s="34" t="s">
        <v>156</v>
      </c>
      <c r="B38" s="34" t="s">
        <v>170</v>
      </c>
      <c r="C38" s="34">
        <v>1.5800000000000002E-2</v>
      </c>
      <c r="D38" s="34">
        <v>2.81</v>
      </c>
      <c r="E38" s="34">
        <v>2.84</v>
      </c>
      <c r="F38" s="34">
        <v>1.76</v>
      </c>
      <c r="G38" s="34">
        <v>2.81</v>
      </c>
      <c r="H38" s="34">
        <v>2.84</v>
      </c>
      <c r="I38" s="34">
        <v>1.81</v>
      </c>
      <c r="J38" s="34">
        <v>2.81</v>
      </c>
      <c r="K38" s="34">
        <v>2.83</v>
      </c>
      <c r="L38" s="34">
        <v>1.8</v>
      </c>
      <c r="M38" s="34">
        <f t="shared" si="18"/>
        <v>2.81</v>
      </c>
      <c r="N38" s="34">
        <f t="shared" si="19"/>
        <v>2.8366666666666664</v>
      </c>
      <c r="O38" s="34">
        <f t="shared" si="20"/>
        <v>1.79</v>
      </c>
      <c r="P38" s="34">
        <f t="shared" si="21"/>
        <v>0</v>
      </c>
      <c r="Q38" s="34">
        <f t="shared" si="22"/>
        <v>5.7735026918961348E-3</v>
      </c>
      <c r="R38" s="34">
        <f t="shared" si="23"/>
        <v>2.6457513110645932E-2</v>
      </c>
      <c r="S38" s="34">
        <f t="shared" si="24"/>
        <v>14.045503999999999</v>
      </c>
      <c r="T38" s="34">
        <f t="shared" si="25"/>
        <v>14.444523999999999</v>
      </c>
      <c r="U38" s="34">
        <f t="shared" si="26"/>
        <v>14.31414</v>
      </c>
      <c r="V38" s="34">
        <f t="shared" si="27"/>
        <v>14.268056</v>
      </c>
      <c r="W38" s="36">
        <f t="shared" si="28"/>
        <v>1.1249151329849041E-3</v>
      </c>
      <c r="X38" s="36">
        <f t="shared" si="29"/>
        <v>1.093840129311288E-3</v>
      </c>
      <c r="Y38" s="36">
        <f t="shared" si="30"/>
        <v>1.1038036514942568E-3</v>
      </c>
      <c r="Z38" s="36">
        <f t="shared" si="31"/>
        <v>1.1075196379301494E-3</v>
      </c>
      <c r="AA38" s="36">
        <f t="shared" si="32"/>
        <v>14.268149666666666</v>
      </c>
      <c r="AB38" s="34">
        <f t="shared" si="33"/>
        <v>1.1073615268356802E-3</v>
      </c>
      <c r="AC38" s="34">
        <f t="shared" si="34"/>
        <v>1107.3615268356803</v>
      </c>
      <c r="AD38" s="35">
        <f t="shared" si="35"/>
        <v>36.157133333333334</v>
      </c>
    </row>
    <row r="39" spans="1:30" x14ac:dyDescent="0.35">
      <c r="A39" s="34" t="s">
        <v>156</v>
      </c>
      <c r="B39" s="34" t="s">
        <v>169</v>
      </c>
      <c r="C39" s="34">
        <v>3.4500000000000003E-2</v>
      </c>
      <c r="D39" s="34">
        <v>3.8</v>
      </c>
      <c r="E39" s="34">
        <v>2.71</v>
      </c>
      <c r="F39" s="34">
        <v>2.85</v>
      </c>
      <c r="G39" s="34">
        <v>3.77</v>
      </c>
      <c r="H39" s="34">
        <v>2.72</v>
      </c>
      <c r="I39" s="34">
        <v>2.86</v>
      </c>
      <c r="J39" s="34">
        <v>3.77</v>
      </c>
      <c r="K39" s="34">
        <v>2.71</v>
      </c>
      <c r="L39" s="34">
        <v>2.85</v>
      </c>
      <c r="M39" s="34">
        <f t="shared" si="18"/>
        <v>3.78</v>
      </c>
      <c r="N39" s="34">
        <f t="shared" si="19"/>
        <v>2.7133333333333334</v>
      </c>
      <c r="O39" s="34">
        <f t="shared" si="20"/>
        <v>2.8533333333333335</v>
      </c>
      <c r="P39" s="34">
        <f t="shared" si="21"/>
        <v>1.7320508075688659E-2</v>
      </c>
      <c r="Q39" s="34">
        <f t="shared" si="22"/>
        <v>5.7735026918963907E-3</v>
      </c>
      <c r="R39" s="34">
        <f t="shared" si="23"/>
        <v>5.7735026918961348E-3</v>
      </c>
      <c r="S39" s="34">
        <f t="shared" si="24"/>
        <v>29.349299999999999</v>
      </c>
      <c r="T39" s="34">
        <f t="shared" si="25"/>
        <v>29.327584000000002</v>
      </c>
      <c r="U39" s="34">
        <f t="shared" si="26"/>
        <v>29.117594999999998</v>
      </c>
      <c r="V39" s="34">
        <f t="shared" si="27"/>
        <v>29.264826333333332</v>
      </c>
      <c r="W39" s="36">
        <f t="shared" si="28"/>
        <v>1.1754965195081314E-3</v>
      </c>
      <c r="X39" s="36">
        <f t="shared" si="29"/>
        <v>1.1763669315549485E-3</v>
      </c>
      <c r="Y39" s="36">
        <f t="shared" si="30"/>
        <v>1.1848506032177454E-3</v>
      </c>
      <c r="Z39" s="36">
        <f t="shared" si="31"/>
        <v>1.1789046847602751E-3</v>
      </c>
      <c r="AA39" s="36">
        <f t="shared" si="32"/>
        <v>29.264928000000001</v>
      </c>
      <c r="AB39" s="34">
        <f t="shared" si="33"/>
        <v>1.1788855246799173E-3</v>
      </c>
      <c r="AC39" s="34">
        <f t="shared" si="34"/>
        <v>1178.8855246799174</v>
      </c>
      <c r="AD39" s="35">
        <f t="shared" si="35"/>
        <v>57.568088888888894</v>
      </c>
    </row>
    <row r="40" spans="1:30" x14ac:dyDescent="0.35">
      <c r="A40" s="34" t="s">
        <v>156</v>
      </c>
      <c r="B40" s="34" t="s">
        <v>168</v>
      </c>
      <c r="C40" s="34">
        <v>6.2799999999999995E-2</v>
      </c>
      <c r="D40" s="34">
        <v>4.76</v>
      </c>
      <c r="E40" s="34">
        <v>4.75</v>
      </c>
      <c r="F40" s="34">
        <v>2.35</v>
      </c>
      <c r="G40" s="34">
        <v>4.75</v>
      </c>
      <c r="H40" s="34">
        <v>4.75</v>
      </c>
      <c r="I40" s="34">
        <v>2.35</v>
      </c>
      <c r="J40" s="34">
        <v>4.75</v>
      </c>
      <c r="K40" s="34">
        <v>4.75</v>
      </c>
      <c r="L40" s="34">
        <v>2.35</v>
      </c>
      <c r="M40" s="34">
        <f t="shared" si="18"/>
        <v>4.753333333333333</v>
      </c>
      <c r="N40" s="34">
        <f t="shared" si="19"/>
        <v>4.75</v>
      </c>
      <c r="O40" s="34">
        <f t="shared" si="20"/>
        <v>2.35</v>
      </c>
      <c r="P40" s="34">
        <f t="shared" si="21"/>
        <v>5.7735026918961348E-3</v>
      </c>
      <c r="Q40" s="34">
        <f t="shared" si="22"/>
        <v>0</v>
      </c>
      <c r="R40" s="34">
        <f t="shared" si="23"/>
        <v>0</v>
      </c>
      <c r="S40" s="34">
        <f t="shared" si="24"/>
        <v>53.133499999999998</v>
      </c>
      <c r="T40" s="34">
        <f t="shared" si="25"/>
        <v>53.021875000000001</v>
      </c>
      <c r="U40" s="34">
        <f t="shared" si="26"/>
        <v>53.021875000000001</v>
      </c>
      <c r="V40" s="34">
        <f t="shared" si="27"/>
        <v>53.059083333333326</v>
      </c>
      <c r="W40" s="36">
        <f t="shared" si="28"/>
        <v>1.1819285384926646E-3</v>
      </c>
      <c r="X40" s="36">
        <f t="shared" si="29"/>
        <v>1.1844168091000177E-3</v>
      </c>
      <c r="Y40" s="36">
        <f t="shared" si="30"/>
        <v>1.1844168091000177E-3</v>
      </c>
      <c r="Z40" s="36">
        <f t="shared" si="31"/>
        <v>1.1835873855642334E-3</v>
      </c>
      <c r="AA40" s="36">
        <f t="shared" si="32"/>
        <v>53.059083333333334</v>
      </c>
      <c r="AB40" s="34">
        <f t="shared" si="33"/>
        <v>1.1835862222773668E-3</v>
      </c>
      <c r="AC40" s="34">
        <f t="shared" si="34"/>
        <v>1183.5862222773667</v>
      </c>
      <c r="AD40" s="35">
        <f t="shared" si="35"/>
        <v>89.822333333333333</v>
      </c>
    </row>
    <row r="41" spans="1:30" x14ac:dyDescent="0.35">
      <c r="A41" s="34" t="s">
        <v>156</v>
      </c>
      <c r="B41" s="34" t="s">
        <v>167</v>
      </c>
      <c r="C41" s="34">
        <v>1.2800000000000001E-2</v>
      </c>
      <c r="D41" s="34">
        <v>2.83</v>
      </c>
      <c r="E41" s="34">
        <v>2.3199999999999998</v>
      </c>
      <c r="F41" s="34">
        <v>1.73</v>
      </c>
      <c r="G41" s="34">
        <v>2.82</v>
      </c>
      <c r="H41" s="34">
        <v>2.31</v>
      </c>
      <c r="I41" s="34">
        <v>1.74</v>
      </c>
      <c r="J41" s="34">
        <v>2.82</v>
      </c>
      <c r="K41" s="34">
        <v>2.3199999999999998</v>
      </c>
      <c r="L41" s="34">
        <v>1.72</v>
      </c>
      <c r="M41" s="34">
        <f t="shared" si="18"/>
        <v>2.8233333333333337</v>
      </c>
      <c r="N41" s="34">
        <f t="shared" si="19"/>
        <v>2.3166666666666664</v>
      </c>
      <c r="O41" s="34">
        <f t="shared" si="20"/>
        <v>1.7299999999999998</v>
      </c>
      <c r="P41" s="34">
        <f t="shared" si="21"/>
        <v>5.7735026918963907E-3</v>
      </c>
      <c r="Q41" s="34">
        <f t="shared" si="22"/>
        <v>5.7735026918961348E-3</v>
      </c>
      <c r="R41" s="34">
        <f t="shared" si="23"/>
        <v>1.0000000000000009E-2</v>
      </c>
      <c r="S41" s="34">
        <f t="shared" si="24"/>
        <v>11.358487999999999</v>
      </c>
      <c r="T41" s="34">
        <f t="shared" si="25"/>
        <v>11.334707999999999</v>
      </c>
      <c r="U41" s="34">
        <f t="shared" si="26"/>
        <v>11.252927999999997</v>
      </c>
      <c r="V41" s="34">
        <f t="shared" si="27"/>
        <v>11.315374666666665</v>
      </c>
      <c r="W41" s="36">
        <f t="shared" si="28"/>
        <v>1.1269105535877664E-3</v>
      </c>
      <c r="X41" s="36">
        <f t="shared" si="29"/>
        <v>1.1292747903166099E-3</v>
      </c>
      <c r="Y41" s="36">
        <f t="shared" si="30"/>
        <v>1.137481729199725E-3</v>
      </c>
      <c r="Z41" s="36">
        <f t="shared" si="31"/>
        <v>1.1312223577013671E-3</v>
      </c>
      <c r="AA41" s="36">
        <f t="shared" si="32"/>
        <v>11.315449444444443</v>
      </c>
      <c r="AB41" s="34">
        <f t="shared" si="33"/>
        <v>1.1311967821379316E-3</v>
      </c>
      <c r="AC41" s="34">
        <f t="shared" si="34"/>
        <v>1131.1967821379317</v>
      </c>
      <c r="AD41" s="35">
        <f t="shared" si="35"/>
        <v>30.865844444444445</v>
      </c>
    </row>
    <row r="42" spans="1:30" x14ac:dyDescent="0.35">
      <c r="A42" s="34" t="s">
        <v>156</v>
      </c>
      <c r="B42" s="34" t="s">
        <v>166</v>
      </c>
      <c r="C42" s="34">
        <v>6.2399999999999997E-2</v>
      </c>
      <c r="D42" s="34">
        <v>4.78</v>
      </c>
      <c r="E42" s="34">
        <v>4.74</v>
      </c>
      <c r="F42" s="34">
        <v>2.33</v>
      </c>
      <c r="G42" s="34">
        <v>4.78</v>
      </c>
      <c r="H42" s="34">
        <v>4.74</v>
      </c>
      <c r="I42" s="34">
        <v>2.33</v>
      </c>
      <c r="J42" s="34">
        <v>4.7699999999999996</v>
      </c>
      <c r="K42" s="34">
        <v>4.7300000000000004</v>
      </c>
      <c r="L42" s="34">
        <v>2.34</v>
      </c>
      <c r="M42" s="34">
        <f t="shared" si="18"/>
        <v>4.7766666666666664</v>
      </c>
      <c r="N42" s="34">
        <f t="shared" si="19"/>
        <v>4.7366666666666672</v>
      </c>
      <c r="O42" s="34">
        <f t="shared" si="20"/>
        <v>2.3333333333333335</v>
      </c>
      <c r="P42" s="34">
        <f t="shared" si="21"/>
        <v>5.7735026918966474E-3</v>
      </c>
      <c r="Q42" s="34">
        <f t="shared" si="22"/>
        <v>5.7735026918961348E-3</v>
      </c>
      <c r="R42" s="34">
        <f t="shared" si="23"/>
        <v>5.7735026918961348E-3</v>
      </c>
      <c r="S42" s="34">
        <f t="shared" si="24"/>
        <v>52.791276000000011</v>
      </c>
      <c r="T42" s="34">
        <f t="shared" si="25"/>
        <v>52.791276000000011</v>
      </c>
      <c r="U42" s="34">
        <f t="shared" si="26"/>
        <v>52.795313999999998</v>
      </c>
      <c r="V42" s="34">
        <f t="shared" si="27"/>
        <v>52.792622000000001</v>
      </c>
      <c r="W42" s="36">
        <f t="shared" si="28"/>
        <v>1.182013482682252E-3</v>
      </c>
      <c r="X42" s="36">
        <f t="shared" si="29"/>
        <v>1.182013482682252E-3</v>
      </c>
      <c r="Y42" s="36">
        <f t="shared" si="30"/>
        <v>1.1819230774913092E-3</v>
      </c>
      <c r="Z42" s="36">
        <f t="shared" si="31"/>
        <v>1.1819833476186044E-3</v>
      </c>
      <c r="AA42" s="36">
        <f t="shared" si="32"/>
        <v>52.792781481481484</v>
      </c>
      <c r="AB42" s="34">
        <f t="shared" si="33"/>
        <v>1.1819797754336644E-3</v>
      </c>
      <c r="AC42" s="34">
        <f t="shared" si="34"/>
        <v>1181.9797754336644</v>
      </c>
      <c r="AD42" s="35">
        <f t="shared" si="35"/>
        <v>89.64651111111111</v>
      </c>
    </row>
    <row r="43" spans="1:30" x14ac:dyDescent="0.35">
      <c r="A43" s="34" t="s">
        <v>156</v>
      </c>
      <c r="B43" s="34" t="s">
        <v>165</v>
      </c>
      <c r="C43" s="34">
        <v>3.4500000000000003E-2</v>
      </c>
      <c r="D43" s="34">
        <v>3.82</v>
      </c>
      <c r="E43" s="34">
        <v>2.87</v>
      </c>
      <c r="F43" s="34">
        <v>2.78</v>
      </c>
      <c r="G43" s="34">
        <v>3.84</v>
      </c>
      <c r="H43" s="34">
        <v>2.87</v>
      </c>
      <c r="I43" s="34">
        <v>2.8</v>
      </c>
      <c r="J43" s="34">
        <v>3.82</v>
      </c>
      <c r="K43" s="34">
        <v>2.86</v>
      </c>
      <c r="L43" s="34">
        <v>2.79</v>
      </c>
      <c r="M43" s="34">
        <f t="shared" si="18"/>
        <v>3.8266666666666667</v>
      </c>
      <c r="N43" s="34">
        <f t="shared" si="19"/>
        <v>2.8666666666666667</v>
      </c>
      <c r="O43" s="34">
        <f t="shared" si="20"/>
        <v>2.7900000000000005</v>
      </c>
      <c r="P43" s="34">
        <f t="shared" si="21"/>
        <v>1.1547005383792526E-2</v>
      </c>
      <c r="Q43" s="34">
        <f t="shared" si="22"/>
        <v>5.7735026918963907E-3</v>
      </c>
      <c r="R43" s="34">
        <f t="shared" si="23"/>
        <v>1.0000000000000009E-2</v>
      </c>
      <c r="S43" s="34">
        <f t="shared" si="24"/>
        <v>30.478251999999998</v>
      </c>
      <c r="T43" s="34">
        <f t="shared" si="25"/>
        <v>30.858239999999995</v>
      </c>
      <c r="U43" s="34">
        <f t="shared" si="26"/>
        <v>30.481307999999995</v>
      </c>
      <c r="V43" s="34">
        <f t="shared" si="27"/>
        <v>30.605933333333329</v>
      </c>
      <c r="W43" s="36">
        <f t="shared" si="28"/>
        <v>1.1319546803405919E-3</v>
      </c>
      <c r="X43" s="36">
        <f t="shared" si="29"/>
        <v>1.1180158038825289E-3</v>
      </c>
      <c r="Y43" s="36">
        <f t="shared" si="30"/>
        <v>1.1318411926417335E-3</v>
      </c>
      <c r="Z43" s="36">
        <f t="shared" si="31"/>
        <v>1.1272705589549514E-3</v>
      </c>
      <c r="AA43" s="36">
        <f t="shared" si="32"/>
        <v>30.605680000000007</v>
      </c>
      <c r="AB43" s="34">
        <f t="shared" si="33"/>
        <v>1.1272417407487759E-3</v>
      </c>
      <c r="AC43" s="34">
        <f t="shared" si="34"/>
        <v>1127.2417407487758</v>
      </c>
      <c r="AD43" s="35">
        <f t="shared" si="35"/>
        <v>59.288355555555562</v>
      </c>
    </row>
    <row r="44" spans="1:30" x14ac:dyDescent="0.35">
      <c r="A44" s="34" t="s">
        <v>156</v>
      </c>
      <c r="B44" s="34" t="s">
        <v>164</v>
      </c>
      <c r="C44" s="34">
        <v>2.7799999999999998E-2</v>
      </c>
      <c r="D44" s="34">
        <v>3.85</v>
      </c>
      <c r="E44" s="34">
        <v>2.8</v>
      </c>
      <c r="F44" s="34">
        <v>2.31</v>
      </c>
      <c r="G44" s="34">
        <v>3.85</v>
      </c>
      <c r="H44" s="34">
        <v>2.79</v>
      </c>
      <c r="I44" s="34">
        <v>2.31</v>
      </c>
      <c r="J44" s="34">
        <v>3.85</v>
      </c>
      <c r="K44" s="34">
        <v>2.81</v>
      </c>
      <c r="L44" s="34">
        <v>2.2999999999999998</v>
      </c>
      <c r="M44" s="34">
        <f t="shared" si="18"/>
        <v>3.85</v>
      </c>
      <c r="N44" s="34">
        <f t="shared" si="19"/>
        <v>2.8000000000000003</v>
      </c>
      <c r="O44" s="34">
        <f t="shared" si="20"/>
        <v>2.3066666666666666</v>
      </c>
      <c r="P44" s="34">
        <f t="shared" si="21"/>
        <v>0</v>
      </c>
      <c r="Q44" s="34">
        <f t="shared" si="22"/>
        <v>1.0000000000000009E-2</v>
      </c>
      <c r="R44" s="34">
        <f t="shared" si="23"/>
        <v>5.7735026918963907E-3</v>
      </c>
      <c r="S44" s="34">
        <f t="shared" si="24"/>
        <v>24.901799999999998</v>
      </c>
      <c r="T44" s="34">
        <f t="shared" si="25"/>
        <v>24.812865000000002</v>
      </c>
      <c r="U44" s="34">
        <f t="shared" si="26"/>
        <v>24.882549999999998</v>
      </c>
      <c r="V44" s="34">
        <f t="shared" si="27"/>
        <v>24.865738333333329</v>
      </c>
      <c r="W44" s="36">
        <f t="shared" si="28"/>
        <v>1.1163851609120627E-3</v>
      </c>
      <c r="X44" s="36">
        <f t="shared" si="29"/>
        <v>1.1203865414171235E-3</v>
      </c>
      <c r="Y44" s="36">
        <f t="shared" si="30"/>
        <v>1.1172488350269566E-3</v>
      </c>
      <c r="Z44" s="36">
        <f t="shared" si="31"/>
        <v>1.1180068457853811E-3</v>
      </c>
      <c r="AA44" s="36">
        <f t="shared" si="32"/>
        <v>24.865866666666669</v>
      </c>
      <c r="AB44" s="34">
        <f t="shared" si="33"/>
        <v>1.1179984342659815E-3</v>
      </c>
      <c r="AC44" s="34">
        <f t="shared" si="34"/>
        <v>1117.9984342659816</v>
      </c>
      <c r="AD44" s="35">
        <f t="shared" si="35"/>
        <v>52.238666666666667</v>
      </c>
    </row>
    <row r="45" spans="1:30" x14ac:dyDescent="0.35">
      <c r="A45" s="34" t="s">
        <v>156</v>
      </c>
      <c r="B45" s="34" t="s">
        <v>163</v>
      </c>
      <c r="C45" s="34">
        <v>1.6E-2</v>
      </c>
      <c r="D45" s="34">
        <v>2.83</v>
      </c>
      <c r="E45" s="34">
        <v>2.8</v>
      </c>
      <c r="F45" s="34">
        <v>1.75</v>
      </c>
      <c r="G45" s="34">
        <v>2.83</v>
      </c>
      <c r="H45" s="34">
        <v>2.78</v>
      </c>
      <c r="I45" s="34">
        <v>1.76</v>
      </c>
      <c r="J45" s="34">
        <v>2.83</v>
      </c>
      <c r="K45" s="34">
        <v>2.78</v>
      </c>
      <c r="L45" s="34">
        <v>1.77</v>
      </c>
      <c r="M45" s="34">
        <f t="shared" si="18"/>
        <v>2.83</v>
      </c>
      <c r="N45" s="34">
        <f t="shared" si="19"/>
        <v>2.7866666666666666</v>
      </c>
      <c r="O45" s="34">
        <f t="shared" si="20"/>
        <v>1.7599999999999998</v>
      </c>
      <c r="P45" s="34">
        <f t="shared" si="21"/>
        <v>0</v>
      </c>
      <c r="Q45" s="34">
        <f t="shared" si="22"/>
        <v>1.1547005383792526E-2</v>
      </c>
      <c r="R45" s="34">
        <f t="shared" si="23"/>
        <v>1.0000000000000009E-2</v>
      </c>
      <c r="S45" s="34">
        <f t="shared" si="24"/>
        <v>13.866999999999999</v>
      </c>
      <c r="T45" s="34">
        <f t="shared" si="25"/>
        <v>13.846624</v>
      </c>
      <c r="U45" s="34">
        <f t="shared" si="26"/>
        <v>13.925298</v>
      </c>
      <c r="V45" s="34">
        <f t="shared" si="27"/>
        <v>13.879640666666667</v>
      </c>
      <c r="W45" s="36">
        <f t="shared" si="28"/>
        <v>1.1538184178264946E-3</v>
      </c>
      <c r="X45" s="36">
        <f t="shared" si="29"/>
        <v>1.1555163193569782E-3</v>
      </c>
      <c r="Y45" s="36">
        <f t="shared" si="30"/>
        <v>1.1489879785696508E-3</v>
      </c>
      <c r="Z45" s="36">
        <f t="shared" si="31"/>
        <v>1.1527742385843746E-3</v>
      </c>
      <c r="AA45" s="36">
        <f t="shared" si="32"/>
        <v>13.879829333333332</v>
      </c>
      <c r="AB45" s="34">
        <f t="shared" si="33"/>
        <v>1.152751926248469E-3</v>
      </c>
      <c r="AC45" s="34">
        <f t="shared" si="34"/>
        <v>1152.7519262484691</v>
      </c>
      <c r="AD45" s="35">
        <f t="shared" si="35"/>
        <v>35.543199999999999</v>
      </c>
    </row>
    <row r="46" spans="1:30" x14ac:dyDescent="0.35">
      <c r="A46" s="34" t="s">
        <v>156</v>
      </c>
      <c r="B46" s="34" t="s">
        <v>162</v>
      </c>
      <c r="C46" s="34">
        <v>3.85E-2</v>
      </c>
      <c r="D46" s="34">
        <v>3.74</v>
      </c>
      <c r="E46" s="34">
        <v>3.77</v>
      </c>
      <c r="F46" s="34">
        <v>2.34</v>
      </c>
      <c r="G46" s="34">
        <v>3.73</v>
      </c>
      <c r="H46" s="34">
        <v>3.76</v>
      </c>
      <c r="I46" s="34">
        <v>2.35</v>
      </c>
      <c r="J46" s="34">
        <v>3.73</v>
      </c>
      <c r="K46" s="34">
        <v>3.76</v>
      </c>
      <c r="L46" s="34">
        <v>2.34</v>
      </c>
      <c r="M46" s="34">
        <f t="shared" si="18"/>
        <v>3.7333333333333338</v>
      </c>
      <c r="N46" s="34">
        <f t="shared" si="19"/>
        <v>3.7633333333333332</v>
      </c>
      <c r="O46" s="34">
        <f t="shared" si="20"/>
        <v>2.3433333333333333</v>
      </c>
      <c r="P46" s="34">
        <f t="shared" si="21"/>
        <v>5.7735026918963907E-3</v>
      </c>
      <c r="Q46" s="34">
        <f t="shared" si="22"/>
        <v>5.7735026918963907E-3</v>
      </c>
      <c r="R46" s="34">
        <f t="shared" si="23"/>
        <v>5.7735026918963907E-3</v>
      </c>
      <c r="S46" s="34">
        <f t="shared" si="24"/>
        <v>32.993531999999995</v>
      </c>
      <c r="T46" s="34">
        <f t="shared" si="25"/>
        <v>32.958280000000002</v>
      </c>
      <c r="U46" s="34">
        <f t="shared" si="26"/>
        <v>32.818031999999995</v>
      </c>
      <c r="V46" s="34">
        <f t="shared" si="27"/>
        <v>32.923281333333328</v>
      </c>
      <c r="W46" s="36">
        <f t="shared" si="28"/>
        <v>1.1668953781607864E-3</v>
      </c>
      <c r="X46" s="36">
        <f t="shared" si="29"/>
        <v>1.1681434832157501E-3</v>
      </c>
      <c r="Y46" s="36">
        <f t="shared" si="30"/>
        <v>1.1731355493833392E-3</v>
      </c>
      <c r="Z46" s="36">
        <f t="shared" si="31"/>
        <v>1.1693914702532919E-3</v>
      </c>
      <c r="AA46" s="36">
        <f t="shared" si="32"/>
        <v>32.923312592592595</v>
      </c>
      <c r="AB46" s="34">
        <f t="shared" si="33"/>
        <v>1.169384152694954E-3</v>
      </c>
      <c r="AC46" s="34">
        <f t="shared" si="34"/>
        <v>1169.3841526949541</v>
      </c>
      <c r="AD46" s="35">
        <f t="shared" si="35"/>
        <v>63.23393333333334</v>
      </c>
    </row>
    <row r="47" spans="1:30" x14ac:dyDescent="0.35">
      <c r="A47" s="34" t="s">
        <v>156</v>
      </c>
      <c r="B47" s="34" t="s">
        <v>161</v>
      </c>
      <c r="C47" s="34">
        <v>3.6999999999999998E-2</v>
      </c>
      <c r="D47" s="34">
        <v>3.79</v>
      </c>
      <c r="E47" s="34">
        <v>3.75</v>
      </c>
      <c r="F47" s="34">
        <v>2.35</v>
      </c>
      <c r="G47" s="34">
        <v>3.79</v>
      </c>
      <c r="H47" s="34">
        <v>3.75</v>
      </c>
      <c r="I47" s="34">
        <v>2.33</v>
      </c>
      <c r="J47" s="34">
        <v>3.78</v>
      </c>
      <c r="K47" s="34">
        <v>3.75</v>
      </c>
      <c r="L47" s="34">
        <v>2.33</v>
      </c>
      <c r="M47" s="34">
        <f t="shared" si="18"/>
        <v>3.7866666666666666</v>
      </c>
      <c r="N47" s="34">
        <f t="shared" si="19"/>
        <v>3.75</v>
      </c>
      <c r="O47" s="34">
        <f t="shared" si="20"/>
        <v>2.3366666666666664</v>
      </c>
      <c r="P47" s="34">
        <f t="shared" si="21"/>
        <v>5.7735026918963907E-3</v>
      </c>
      <c r="Q47" s="34">
        <f t="shared" si="22"/>
        <v>0</v>
      </c>
      <c r="R47" s="34">
        <f t="shared" si="23"/>
        <v>1.1547005383792526E-2</v>
      </c>
      <c r="S47" s="34">
        <f t="shared" si="24"/>
        <v>33.399374999999999</v>
      </c>
      <c r="T47" s="34">
        <f t="shared" si="25"/>
        <v>33.115124999999999</v>
      </c>
      <c r="U47" s="34">
        <f t="shared" si="26"/>
        <v>33.027749999999997</v>
      </c>
      <c r="V47" s="34">
        <f t="shared" si="27"/>
        <v>33.180749999999996</v>
      </c>
      <c r="W47" s="36">
        <f t="shared" si="28"/>
        <v>1.1078051610247197E-3</v>
      </c>
      <c r="X47" s="36">
        <f t="shared" si="29"/>
        <v>1.1173142182008976E-3</v>
      </c>
      <c r="Y47" s="36">
        <f t="shared" si="30"/>
        <v>1.1202700759210058E-3</v>
      </c>
      <c r="Z47" s="36">
        <f t="shared" si="31"/>
        <v>1.1151298183822078E-3</v>
      </c>
      <c r="AA47" s="36">
        <f t="shared" si="32"/>
        <v>33.18066666666666</v>
      </c>
      <c r="AB47" s="34">
        <f t="shared" si="33"/>
        <v>1.11510719093448E-3</v>
      </c>
      <c r="AC47" s="34">
        <f t="shared" si="34"/>
        <v>1115.1071909344801</v>
      </c>
      <c r="AD47" s="35">
        <f t="shared" si="35"/>
        <v>63.621355555555553</v>
      </c>
    </row>
    <row r="48" spans="1:30" x14ac:dyDescent="0.35">
      <c r="A48" s="34" t="s">
        <v>156</v>
      </c>
      <c r="B48" s="34" t="s">
        <v>160</v>
      </c>
      <c r="C48" s="34">
        <v>2.2800000000000001E-2</v>
      </c>
      <c r="D48" s="34">
        <v>4.79</v>
      </c>
      <c r="E48" s="34">
        <v>3.82</v>
      </c>
      <c r="F48" s="34">
        <v>1.02</v>
      </c>
      <c r="G48" s="34">
        <v>4.79</v>
      </c>
      <c r="H48" s="34">
        <v>3.81</v>
      </c>
      <c r="I48" s="34">
        <v>1.03</v>
      </c>
      <c r="J48" s="34">
        <v>4.76</v>
      </c>
      <c r="K48" s="34">
        <v>3.82</v>
      </c>
      <c r="L48" s="34">
        <v>1.03</v>
      </c>
      <c r="M48" s="34">
        <f t="shared" si="18"/>
        <v>4.78</v>
      </c>
      <c r="N48" s="34">
        <f t="shared" si="19"/>
        <v>3.8166666666666664</v>
      </c>
      <c r="O48" s="34">
        <f t="shared" si="20"/>
        <v>1.0266666666666666</v>
      </c>
      <c r="P48" s="34">
        <f t="shared" si="21"/>
        <v>1.7320508075688915E-2</v>
      </c>
      <c r="Q48" s="34">
        <f t="shared" si="22"/>
        <v>5.7735026918961348E-3</v>
      </c>
      <c r="R48" s="34">
        <f t="shared" si="23"/>
        <v>5.7735026918962632E-3</v>
      </c>
      <c r="S48" s="34">
        <f t="shared" si="24"/>
        <v>18.663755999999999</v>
      </c>
      <c r="T48" s="34">
        <f t="shared" si="25"/>
        <v>18.797397</v>
      </c>
      <c r="U48" s="34">
        <f t="shared" si="26"/>
        <v>18.728695999999999</v>
      </c>
      <c r="V48" s="34">
        <f t="shared" si="27"/>
        <v>18.729949666666666</v>
      </c>
      <c r="W48" s="36">
        <f t="shared" si="28"/>
        <v>1.2216190567429194E-3</v>
      </c>
      <c r="X48" s="36">
        <f t="shared" si="29"/>
        <v>1.2129338971773591E-3</v>
      </c>
      <c r="Y48" s="36">
        <f t="shared" si="30"/>
        <v>1.2173832070316055E-3</v>
      </c>
      <c r="Z48" s="36">
        <f t="shared" si="31"/>
        <v>1.2173120536506279E-3</v>
      </c>
      <c r="AA48" s="36">
        <f t="shared" si="32"/>
        <v>18.730164444444444</v>
      </c>
      <c r="AB48" s="34">
        <f t="shared" si="33"/>
        <v>1.2172877642172924E-3</v>
      </c>
      <c r="AC48" s="34">
        <f t="shared" si="34"/>
        <v>1217.2877642172923</v>
      </c>
      <c r="AD48" s="35">
        <f t="shared" si="35"/>
        <v>54.139155555555554</v>
      </c>
    </row>
    <row r="49" spans="1:30" x14ac:dyDescent="0.35">
      <c r="A49" s="34" t="s">
        <v>156</v>
      </c>
      <c r="B49" s="34" t="s">
        <v>159</v>
      </c>
      <c r="C49" s="34">
        <v>6.2100000000000002E-2</v>
      </c>
      <c r="D49" s="34">
        <v>4.75</v>
      </c>
      <c r="E49" s="34">
        <v>4.7</v>
      </c>
      <c r="F49" s="34">
        <v>2.35</v>
      </c>
      <c r="G49" s="34">
        <v>4.76</v>
      </c>
      <c r="H49" s="34">
        <v>4.7</v>
      </c>
      <c r="I49" s="34">
        <v>2.35</v>
      </c>
      <c r="J49" s="34">
        <v>4.7699999999999996</v>
      </c>
      <c r="K49" s="34">
        <v>4.7</v>
      </c>
      <c r="L49" s="34">
        <v>2.36</v>
      </c>
      <c r="M49" s="34">
        <f t="shared" si="18"/>
        <v>4.76</v>
      </c>
      <c r="N49" s="34">
        <f t="shared" si="19"/>
        <v>4.7</v>
      </c>
      <c r="O49" s="34">
        <f t="shared" si="20"/>
        <v>2.3533333333333335</v>
      </c>
      <c r="P49" s="34">
        <f t="shared" si="21"/>
        <v>9.9999999999997868E-3</v>
      </c>
      <c r="Q49" s="34">
        <f t="shared" si="22"/>
        <v>0</v>
      </c>
      <c r="R49" s="34">
        <f t="shared" si="23"/>
        <v>5.7735026918961348E-3</v>
      </c>
      <c r="S49" s="34">
        <f t="shared" si="24"/>
        <v>52.463749999999997</v>
      </c>
      <c r="T49" s="34">
        <f t="shared" si="25"/>
        <v>52.574200000000005</v>
      </c>
      <c r="U49" s="34">
        <f t="shared" si="26"/>
        <v>52.908839999999998</v>
      </c>
      <c r="V49" s="34">
        <f t="shared" si="27"/>
        <v>52.64893</v>
      </c>
      <c r="W49" s="36">
        <f t="shared" si="28"/>
        <v>1.1836744418765339E-3</v>
      </c>
      <c r="X49" s="36">
        <f t="shared" si="29"/>
        <v>1.1811877308641882E-3</v>
      </c>
      <c r="Y49" s="36">
        <f t="shared" si="30"/>
        <v>1.1737169062863598E-3</v>
      </c>
      <c r="Z49" s="36">
        <f t="shared" si="31"/>
        <v>1.1795263596756939E-3</v>
      </c>
      <c r="AA49" s="36">
        <f t="shared" si="32"/>
        <v>52.648773333333338</v>
      </c>
      <c r="AB49" s="34">
        <f t="shared" si="33"/>
        <v>1.1795146604238705E-3</v>
      </c>
      <c r="AC49" s="34">
        <f t="shared" si="34"/>
        <v>1179.5146604238705</v>
      </c>
      <c r="AD49" s="35">
        <f t="shared" si="35"/>
        <v>89.269066666666674</v>
      </c>
    </row>
    <row r="50" spans="1:30" x14ac:dyDescent="0.35">
      <c r="A50" s="34" t="s">
        <v>156</v>
      </c>
      <c r="B50" s="34" t="s">
        <v>158</v>
      </c>
      <c r="C50" s="34">
        <v>1.5900000000000001E-2</v>
      </c>
      <c r="D50" s="34">
        <v>2.88</v>
      </c>
      <c r="E50" s="34">
        <v>2.83</v>
      </c>
      <c r="F50" s="34">
        <v>1.8</v>
      </c>
      <c r="G50" s="34">
        <v>2.88</v>
      </c>
      <c r="H50" s="34">
        <v>2.83</v>
      </c>
      <c r="I50" s="34">
        <v>1.79</v>
      </c>
      <c r="J50" s="34">
        <v>2.88</v>
      </c>
      <c r="K50" s="34">
        <v>2.82</v>
      </c>
      <c r="L50" s="34">
        <v>1.79</v>
      </c>
      <c r="M50" s="34">
        <f t="shared" si="18"/>
        <v>2.8800000000000003</v>
      </c>
      <c r="N50" s="34">
        <f t="shared" si="19"/>
        <v>2.8266666666666667</v>
      </c>
      <c r="O50" s="34">
        <f t="shared" si="20"/>
        <v>1.7933333333333332</v>
      </c>
      <c r="P50" s="34">
        <f t="shared" si="21"/>
        <v>5.4389598220420729E-16</v>
      </c>
      <c r="Q50" s="34">
        <f t="shared" si="22"/>
        <v>5.7735026918963907E-3</v>
      </c>
      <c r="R50" s="34">
        <f t="shared" si="23"/>
        <v>5.7735026918962632E-3</v>
      </c>
      <c r="S50" s="34">
        <f t="shared" si="24"/>
        <v>14.670719999999999</v>
      </c>
      <c r="T50" s="34">
        <f t="shared" si="25"/>
        <v>14.589215999999999</v>
      </c>
      <c r="U50" s="34">
        <f t="shared" si="26"/>
        <v>14.537663999999998</v>
      </c>
      <c r="V50" s="34">
        <f t="shared" si="27"/>
        <v>14.599199999999998</v>
      </c>
      <c r="W50" s="36">
        <f t="shared" si="28"/>
        <v>1.0837913885617066E-3</v>
      </c>
      <c r="X50" s="36">
        <f t="shared" si="29"/>
        <v>1.0898460890564649E-3</v>
      </c>
      <c r="Y50" s="36">
        <f t="shared" si="30"/>
        <v>1.0937107914999276E-3</v>
      </c>
      <c r="Z50" s="36">
        <f t="shared" si="31"/>
        <v>1.089116089706033E-3</v>
      </c>
      <c r="AA50" s="36">
        <f t="shared" si="32"/>
        <v>14.599168000000001</v>
      </c>
      <c r="AB50" s="34">
        <f t="shared" si="33"/>
        <v>1.0891031598513012E-3</v>
      </c>
      <c r="AC50" s="34">
        <f t="shared" si="34"/>
        <v>1089.1031598513011</v>
      </c>
      <c r="AD50" s="35">
        <f t="shared" si="35"/>
        <v>36.749511111111111</v>
      </c>
    </row>
    <row r="51" spans="1:30" x14ac:dyDescent="0.35">
      <c r="A51" s="34" t="s">
        <v>156</v>
      </c>
      <c r="B51" s="34" t="s">
        <v>157</v>
      </c>
      <c r="C51" s="34">
        <v>1.2800000000000001E-2</v>
      </c>
      <c r="D51" s="34">
        <v>2.85</v>
      </c>
      <c r="E51" s="34">
        <v>2.31</v>
      </c>
      <c r="F51" s="34">
        <v>1.77</v>
      </c>
      <c r="G51" s="34">
        <v>2.86</v>
      </c>
      <c r="H51" s="34">
        <v>2.2999999999999998</v>
      </c>
      <c r="I51" s="34">
        <v>1.79</v>
      </c>
      <c r="J51" s="34">
        <v>2.85</v>
      </c>
      <c r="K51" s="34">
        <v>2.2999999999999998</v>
      </c>
      <c r="L51" s="34">
        <v>1.78</v>
      </c>
      <c r="M51" s="34">
        <f t="shared" si="18"/>
        <v>2.8533333333333335</v>
      </c>
      <c r="N51" s="34">
        <f t="shared" si="19"/>
        <v>2.3033333333333332</v>
      </c>
      <c r="O51" s="34">
        <f t="shared" si="20"/>
        <v>1.78</v>
      </c>
      <c r="P51" s="34">
        <f t="shared" si="21"/>
        <v>5.7735026918961348E-3</v>
      </c>
      <c r="Q51" s="34">
        <f t="shared" si="22"/>
        <v>5.7735026918963907E-3</v>
      </c>
      <c r="R51" s="34">
        <f t="shared" si="23"/>
        <v>1.0000000000000009E-2</v>
      </c>
      <c r="S51" s="34">
        <f t="shared" si="24"/>
        <v>11.652795000000001</v>
      </c>
      <c r="T51" s="34">
        <f t="shared" si="25"/>
        <v>11.774619999999999</v>
      </c>
      <c r="U51" s="34">
        <f t="shared" si="26"/>
        <v>11.667899999999999</v>
      </c>
      <c r="V51" s="34">
        <f t="shared" si="27"/>
        <v>11.698438333333334</v>
      </c>
      <c r="W51" s="36">
        <f t="shared" si="28"/>
        <v>1.0984489129002956E-3</v>
      </c>
      <c r="X51" s="36">
        <f t="shared" si="29"/>
        <v>1.0870839143853476E-3</v>
      </c>
      <c r="Y51" s="36">
        <f t="shared" si="30"/>
        <v>1.0970268857292231E-3</v>
      </c>
      <c r="Z51" s="36">
        <f t="shared" si="31"/>
        <v>1.0941865710049554E-3</v>
      </c>
      <c r="AA51" s="36">
        <f t="shared" si="32"/>
        <v>11.698476444444445</v>
      </c>
      <c r="AB51" s="34">
        <f t="shared" si="33"/>
        <v>1.094159573751902E-3</v>
      </c>
      <c r="AC51" s="34">
        <f t="shared" si="34"/>
        <v>1094.1595737519021</v>
      </c>
      <c r="AD51" s="35">
        <f t="shared" si="35"/>
        <v>31.502088888888888</v>
      </c>
    </row>
    <row r="52" spans="1:30" x14ac:dyDescent="0.35">
      <c r="A52" s="34" t="s">
        <v>156</v>
      </c>
      <c r="B52" s="34" t="s">
        <v>155</v>
      </c>
      <c r="C52" s="34">
        <v>2.5100000000000001E-2</v>
      </c>
      <c r="D52" s="34">
        <v>2.83</v>
      </c>
      <c r="E52" s="34">
        <v>2.86</v>
      </c>
      <c r="F52" s="34">
        <v>2.78</v>
      </c>
      <c r="G52" s="34">
        <v>2.83</v>
      </c>
      <c r="H52" s="34">
        <v>2.85</v>
      </c>
      <c r="I52" s="34">
        <v>2.78</v>
      </c>
      <c r="J52" s="34">
        <v>2.84</v>
      </c>
      <c r="K52" s="34">
        <v>2.86</v>
      </c>
      <c r="L52" s="34">
        <v>2.78</v>
      </c>
      <c r="M52" s="34">
        <f t="shared" si="18"/>
        <v>2.8333333333333335</v>
      </c>
      <c r="N52" s="34">
        <f t="shared" si="19"/>
        <v>2.8566666666666669</v>
      </c>
      <c r="O52" s="34">
        <f t="shared" si="20"/>
        <v>2.78</v>
      </c>
      <c r="P52" s="34">
        <f t="shared" si="21"/>
        <v>5.7735026918961348E-3</v>
      </c>
      <c r="Q52" s="34">
        <f t="shared" si="22"/>
        <v>5.7735026918961348E-3</v>
      </c>
      <c r="R52" s="34">
        <f t="shared" si="23"/>
        <v>0</v>
      </c>
      <c r="S52" s="34">
        <f t="shared" si="24"/>
        <v>22.500763999999997</v>
      </c>
      <c r="T52" s="34">
        <f t="shared" si="25"/>
        <v>22.422089999999997</v>
      </c>
      <c r="U52" s="34">
        <f t="shared" si="26"/>
        <v>22.580271999999997</v>
      </c>
      <c r="V52" s="34">
        <f t="shared" si="27"/>
        <v>22.501041999999998</v>
      </c>
      <c r="W52" s="36">
        <f t="shared" si="28"/>
        <v>1.1155176775330831E-3</v>
      </c>
      <c r="X52" s="36">
        <f t="shared" si="29"/>
        <v>1.1194317746472343E-3</v>
      </c>
      <c r="Y52" s="36">
        <f t="shared" si="30"/>
        <v>1.1115897983868398E-3</v>
      </c>
      <c r="Z52" s="36">
        <f t="shared" si="31"/>
        <v>1.1155130835223857E-3</v>
      </c>
      <c r="AA52" s="36">
        <f t="shared" si="32"/>
        <v>22.501011111111112</v>
      </c>
      <c r="AB52" s="34">
        <f t="shared" si="33"/>
        <v>1.1155054266697151E-3</v>
      </c>
      <c r="AC52" s="34">
        <f t="shared" si="34"/>
        <v>1115.505426669715</v>
      </c>
      <c r="AD52" s="35">
        <f t="shared" si="35"/>
        <v>47.824177777777777</v>
      </c>
    </row>
  </sheetData>
  <mergeCells count="5">
    <mergeCell ref="P1:R1"/>
    <mergeCell ref="D1:E1"/>
    <mergeCell ref="G1:H1"/>
    <mergeCell ref="J1:K1"/>
    <mergeCell ref="M1:O1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4BC88-ADCF-4735-A047-DE4D1066B005}">
  <dimension ref="A1:AA52"/>
  <sheetViews>
    <sheetView workbookViewId="0">
      <selection activeCell="Z3" sqref="Z3"/>
    </sheetView>
  </sheetViews>
  <sheetFormatPr defaultColWidth="11.5703125" defaultRowHeight="15.75" x14ac:dyDescent="0.25"/>
  <cols>
    <col min="1" max="1" width="11.5703125" style="40"/>
    <col min="2" max="2" width="15.28515625" style="40" customWidth="1"/>
    <col min="3" max="3" width="13.140625" style="40" customWidth="1"/>
    <col min="4" max="4" width="15.28515625" style="40" hidden="1" customWidth="1"/>
    <col min="5" max="5" width="18.140625" style="40" hidden="1" customWidth="1"/>
    <col min="6" max="6" width="17.28515625" style="40" hidden="1" customWidth="1"/>
    <col min="7" max="7" width="21.42578125" style="40" hidden="1" customWidth="1"/>
    <col min="8" max="8" width="0" style="40" hidden="1" customWidth="1"/>
    <col min="9" max="9" width="15.7109375" style="40" hidden="1" customWidth="1"/>
    <col min="10" max="10" width="18.28515625" style="40" bestFit="1" customWidth="1"/>
    <col min="11" max="11" width="16.42578125" style="40" customWidth="1"/>
    <col min="12" max="12" width="11.5703125" style="40"/>
    <col min="13" max="13" width="14.5703125" style="40" bestFit="1" customWidth="1"/>
    <col min="14" max="14" width="17.140625" style="40" customWidth="1"/>
    <col min="15" max="15" width="0" style="40" hidden="1" customWidth="1"/>
    <col min="16" max="16" width="17.42578125" style="40" hidden="1" customWidth="1"/>
    <col min="17" max="17" width="22.5703125" style="40" hidden="1" customWidth="1"/>
    <col min="18" max="18" width="20.7109375" style="40" hidden="1" customWidth="1"/>
    <col min="19" max="19" width="26.5703125" style="40" customWidth="1"/>
    <col min="20" max="20" width="23.28515625" style="40" hidden="1" customWidth="1"/>
    <col min="21" max="21" width="25" style="40" hidden="1" customWidth="1"/>
    <col min="22" max="22" width="25.28515625" style="40" hidden="1" customWidth="1"/>
    <col min="23" max="23" width="29.28515625" style="40" hidden="1" customWidth="1"/>
    <col min="24" max="24" width="26" style="40" customWidth="1"/>
    <col min="25" max="25" width="20.140625" style="40" customWidth="1"/>
    <col min="26" max="26" width="24.5703125" style="40" bestFit="1" customWidth="1"/>
    <col min="27" max="16384" width="11.5703125" style="40"/>
  </cols>
  <sheetData>
    <row r="1" spans="1:27" x14ac:dyDescent="0.25">
      <c r="A1" s="43"/>
      <c r="B1" s="43"/>
      <c r="C1" s="43"/>
      <c r="D1" s="72" t="s">
        <v>0</v>
      </c>
      <c r="E1" s="72"/>
      <c r="F1" s="72" t="s">
        <v>1</v>
      </c>
      <c r="G1" s="72"/>
      <c r="H1" s="72" t="s">
        <v>2</v>
      </c>
      <c r="I1" s="72"/>
      <c r="J1" s="72" t="s">
        <v>3</v>
      </c>
      <c r="K1" s="72"/>
      <c r="L1" s="72" t="s">
        <v>4</v>
      </c>
      <c r="M1" s="72"/>
      <c r="N1" s="72"/>
      <c r="O1" s="43"/>
      <c r="P1" s="43"/>
      <c r="Q1" s="43"/>
      <c r="R1" s="43"/>
      <c r="S1" s="43"/>
      <c r="T1" s="43"/>
      <c r="U1" s="43"/>
      <c r="V1" s="43"/>
      <c r="W1" s="43"/>
      <c r="X1" s="72" t="s">
        <v>5</v>
      </c>
      <c r="Y1" s="72"/>
    </row>
    <row r="2" spans="1:27" x14ac:dyDescent="0.25">
      <c r="A2" s="46" t="s">
        <v>6</v>
      </c>
      <c r="B2" s="46" t="s">
        <v>7</v>
      </c>
      <c r="C2" s="46" t="s">
        <v>8</v>
      </c>
      <c r="D2" s="46" t="s">
        <v>9</v>
      </c>
      <c r="E2" s="46" t="s">
        <v>10</v>
      </c>
      <c r="F2" s="46" t="s">
        <v>9</v>
      </c>
      <c r="G2" s="46" t="s">
        <v>11</v>
      </c>
      <c r="H2" s="46" t="s">
        <v>12</v>
      </c>
      <c r="I2" s="46" t="s">
        <v>10</v>
      </c>
      <c r="J2" s="46" t="s">
        <v>57</v>
      </c>
      <c r="K2" s="46" t="s">
        <v>227</v>
      </c>
      <c r="L2" s="74" t="s">
        <v>57</v>
      </c>
      <c r="M2" s="74"/>
      <c r="N2" s="46" t="s">
        <v>58</v>
      </c>
      <c r="O2" s="74" t="s">
        <v>14</v>
      </c>
      <c r="P2" s="74"/>
      <c r="Q2" s="46" t="s">
        <v>15</v>
      </c>
      <c r="R2" s="46" t="s">
        <v>16</v>
      </c>
      <c r="S2" s="46" t="s">
        <v>17</v>
      </c>
      <c r="T2" s="46" t="s">
        <v>18</v>
      </c>
      <c r="U2" s="46" t="s">
        <v>19</v>
      </c>
      <c r="V2" s="46" t="s">
        <v>20</v>
      </c>
      <c r="W2" s="46" t="s">
        <v>21</v>
      </c>
      <c r="X2" s="46" t="s">
        <v>22</v>
      </c>
      <c r="Y2" s="46" t="s">
        <v>23</v>
      </c>
      <c r="Z2" s="45" t="s">
        <v>154</v>
      </c>
      <c r="AA2" s="42"/>
    </row>
    <row r="3" spans="1:27" x14ac:dyDescent="0.25">
      <c r="A3" s="43" t="s">
        <v>156</v>
      </c>
      <c r="B3" s="43" t="s">
        <v>24</v>
      </c>
      <c r="C3" s="42">
        <v>2.29E-2</v>
      </c>
      <c r="D3" s="42">
        <v>4.8</v>
      </c>
      <c r="E3" s="42">
        <v>0.98</v>
      </c>
      <c r="F3" s="42">
        <v>4.84</v>
      </c>
      <c r="G3" s="42">
        <v>0.97</v>
      </c>
      <c r="H3" s="42">
        <v>4.7699999999999996</v>
      </c>
      <c r="I3" s="42">
        <v>1</v>
      </c>
      <c r="J3" s="42">
        <f t="shared" ref="J3:J34" si="0">AVERAGE(D3,F3,H3)</f>
        <v>4.8033333333333337</v>
      </c>
      <c r="K3" s="42">
        <f t="shared" ref="K3:K34" si="1">AVERAGE(E3,G3,I3)</f>
        <v>0.98333333333333339</v>
      </c>
      <c r="L3" s="72">
        <f t="shared" ref="L3:L34" si="2">_xlfn.STDEV.S(D3,G3,I3)</f>
        <v>2.2026423525695979</v>
      </c>
      <c r="M3" s="72"/>
      <c r="N3" s="42">
        <f t="shared" ref="N3:N34" si="3">_xlfn.STDEV.S(E3,G3,I3)</f>
        <v>1.527525231651948E-2</v>
      </c>
      <c r="O3" s="73">
        <f t="shared" ref="O3:O34" si="4">PI()*(D3/2)^2*E3</f>
        <v>17.733662210983663</v>
      </c>
      <c r="P3" s="72"/>
      <c r="Q3" s="42">
        <f t="shared" ref="Q3:Q34" si="5">PI()*(F3/2)^2*G3</f>
        <v>17.846470519988763</v>
      </c>
      <c r="R3" s="42">
        <f t="shared" ref="R3:R34" si="6">PI()*(H3/3)^2*I3</f>
        <v>7.9422603875403537</v>
      </c>
      <c r="S3" s="42">
        <f t="shared" ref="S3:S34" si="7">AVERAGE(O3:R3)</f>
        <v>14.507464372837591</v>
      </c>
      <c r="T3" s="42">
        <f t="shared" ref="T3:T34" si="8">C3/O3</f>
        <v>1.2913294348088165E-3</v>
      </c>
      <c r="U3" s="42">
        <f t="shared" ref="U3:U34" si="9">C3/Q3</f>
        <v>1.2831668858193043E-3</v>
      </c>
      <c r="V3" s="42">
        <f t="shared" ref="V3:V34" si="10">C3/R3</f>
        <v>2.8833101513424347E-3</v>
      </c>
      <c r="W3" s="42">
        <f t="shared" ref="W3:W34" si="11">AVERAGE(T3:V3)</f>
        <v>1.8192688239901851E-3</v>
      </c>
      <c r="X3" s="42">
        <f t="shared" ref="X3:X34" si="12">C3/S3</f>
        <v>1.5784977589106339E-3</v>
      </c>
      <c r="Y3" s="42">
        <f t="shared" ref="Y3:Y34" si="13">X3*10^6</f>
        <v>1578.4977589106338</v>
      </c>
      <c r="Z3" s="41">
        <f t="shared" ref="Z3:Z34" si="14">2*PI()*J3/2*(J3/2+K3)</f>
        <v>51.080045072634974</v>
      </c>
    </row>
    <row r="4" spans="1:27" x14ac:dyDescent="0.25">
      <c r="A4" s="43" t="s">
        <v>156</v>
      </c>
      <c r="B4" s="43" t="s">
        <v>25</v>
      </c>
      <c r="C4" s="42">
        <v>2.29E-2</v>
      </c>
      <c r="D4" s="42">
        <v>4.87</v>
      </c>
      <c r="E4" s="42">
        <v>1</v>
      </c>
      <c r="F4" s="42">
        <v>4.8499999999999996</v>
      </c>
      <c r="G4" s="42">
        <v>1.01</v>
      </c>
      <c r="H4" s="42">
        <v>4.79</v>
      </c>
      <c r="I4" s="42">
        <v>1.01</v>
      </c>
      <c r="J4" s="42">
        <f t="shared" si="0"/>
        <v>4.836666666666666</v>
      </c>
      <c r="K4" s="42">
        <f t="shared" si="1"/>
        <v>1.0066666666666666</v>
      </c>
      <c r="L4" s="72">
        <f t="shared" si="2"/>
        <v>2.2285720390719557</v>
      </c>
      <c r="M4" s="72"/>
      <c r="N4" s="42">
        <f t="shared" si="3"/>
        <v>5.7735026918962632E-3</v>
      </c>
      <c r="O4" s="73">
        <f t="shared" si="4"/>
        <v>18.627209701480943</v>
      </c>
      <c r="P4" s="72"/>
      <c r="Q4" s="42">
        <f t="shared" si="5"/>
        <v>18.65927358150164</v>
      </c>
      <c r="R4" s="42">
        <f t="shared" si="6"/>
        <v>8.0890917959179856</v>
      </c>
      <c r="S4" s="42">
        <f t="shared" si="7"/>
        <v>15.125191692966858</v>
      </c>
      <c r="T4" s="42">
        <f t="shared" si="8"/>
        <v>1.2293843451056093E-3</v>
      </c>
      <c r="U4" s="42">
        <f t="shared" si="9"/>
        <v>1.2272717852586993E-3</v>
      </c>
      <c r="V4" s="42">
        <f t="shared" si="10"/>
        <v>2.8309729420496962E-3</v>
      </c>
      <c r="W4" s="42">
        <f t="shared" si="11"/>
        <v>1.7625430241380016E-3</v>
      </c>
      <c r="X4" s="42">
        <f t="shared" si="12"/>
        <v>1.5140303980840381E-3</v>
      </c>
      <c r="Y4" s="42">
        <f t="shared" si="13"/>
        <v>1514.0303980840381</v>
      </c>
      <c r="Z4" s="41">
        <f t="shared" si="14"/>
        <v>52.04231490242951</v>
      </c>
    </row>
    <row r="5" spans="1:27" x14ac:dyDescent="0.25">
      <c r="A5" s="43" t="s">
        <v>156</v>
      </c>
      <c r="B5" s="43" t="s">
        <v>26</v>
      </c>
      <c r="C5" s="42">
        <v>2.3099999999999999E-2</v>
      </c>
      <c r="D5" s="42">
        <v>4.78</v>
      </c>
      <c r="E5" s="42">
        <v>1.01</v>
      </c>
      <c r="F5" s="42">
        <v>4.8</v>
      </c>
      <c r="G5" s="42">
        <v>1.03</v>
      </c>
      <c r="H5" s="42">
        <v>4.79</v>
      </c>
      <c r="I5" s="42">
        <v>1.02</v>
      </c>
      <c r="J5" s="42">
        <f t="shared" si="0"/>
        <v>4.79</v>
      </c>
      <c r="K5" s="42">
        <f t="shared" si="1"/>
        <v>1.02</v>
      </c>
      <c r="L5" s="72">
        <f t="shared" si="2"/>
        <v>2.1679560266143163</v>
      </c>
      <c r="M5" s="72"/>
      <c r="N5" s="42">
        <f t="shared" si="3"/>
        <v>1.0000000000000009E-2</v>
      </c>
      <c r="O5" s="73">
        <f t="shared" si="4"/>
        <v>18.124542310535961</v>
      </c>
      <c r="P5" s="72"/>
      <c r="Q5" s="42">
        <f t="shared" si="5"/>
        <v>18.638440895217524</v>
      </c>
      <c r="R5" s="42">
        <f t="shared" si="6"/>
        <v>8.1691818136993515</v>
      </c>
      <c r="S5" s="42">
        <f t="shared" si="7"/>
        <v>14.977388339817614</v>
      </c>
      <c r="T5" s="42">
        <f t="shared" si="8"/>
        <v>1.2745149424585336E-3</v>
      </c>
      <c r="U5" s="42">
        <f t="shared" si="9"/>
        <v>1.2393740511808192E-3</v>
      </c>
      <c r="V5" s="42">
        <f t="shared" si="10"/>
        <v>2.8277005613049689E-3</v>
      </c>
      <c r="W5" s="42">
        <f t="shared" si="11"/>
        <v>1.7805298516481074E-3</v>
      </c>
      <c r="X5" s="42">
        <f t="shared" si="12"/>
        <v>1.542324968538627E-3</v>
      </c>
      <c r="Y5" s="42">
        <f t="shared" si="13"/>
        <v>1542.324968538627</v>
      </c>
      <c r="Z5" s="41">
        <f t="shared" si="14"/>
        <v>51.389701388523797</v>
      </c>
    </row>
    <row r="6" spans="1:27" x14ac:dyDescent="0.25">
      <c r="A6" s="43" t="s">
        <v>156</v>
      </c>
      <c r="B6" s="43" t="s">
        <v>27</v>
      </c>
      <c r="C6" s="42">
        <v>5.96E-2</v>
      </c>
      <c r="D6" s="42">
        <v>4.75</v>
      </c>
      <c r="E6" s="42">
        <v>2.84</v>
      </c>
      <c r="F6" s="42">
        <v>4.78</v>
      </c>
      <c r="G6" s="42">
        <v>2.85</v>
      </c>
      <c r="H6" s="42">
        <v>4.79</v>
      </c>
      <c r="I6" s="42">
        <v>2.85</v>
      </c>
      <c r="J6" s="42">
        <f t="shared" si="0"/>
        <v>4.7733333333333334</v>
      </c>
      <c r="K6" s="42">
        <f t="shared" si="1"/>
        <v>2.8466666666666662</v>
      </c>
      <c r="L6" s="72">
        <f t="shared" si="2"/>
        <v>1.0969655114602905</v>
      </c>
      <c r="M6" s="72"/>
      <c r="N6" s="42">
        <f t="shared" si="3"/>
        <v>5.7735026918963907E-3</v>
      </c>
      <c r="O6" s="73">
        <f t="shared" si="4"/>
        <v>50.326350815099985</v>
      </c>
      <c r="P6" s="72"/>
      <c r="Q6" s="42">
        <f t="shared" si="5"/>
        <v>51.143510480225238</v>
      </c>
      <c r="R6" s="42">
        <f t="shared" si="6"/>
        <v>22.825655067689368</v>
      </c>
      <c r="S6" s="42">
        <f t="shared" si="7"/>
        <v>41.431838787671531</v>
      </c>
      <c r="T6" s="42">
        <f t="shared" si="8"/>
        <v>1.1842702487802382E-3</v>
      </c>
      <c r="U6" s="42">
        <f t="shared" si="9"/>
        <v>1.1653482414556678E-3</v>
      </c>
      <c r="V6" s="42">
        <f t="shared" si="10"/>
        <v>2.6110970232072856E-3</v>
      </c>
      <c r="W6" s="42">
        <f t="shared" si="11"/>
        <v>1.6535718378143972E-3</v>
      </c>
      <c r="X6" s="42">
        <f t="shared" si="12"/>
        <v>1.4385072384896079E-3</v>
      </c>
      <c r="Y6" s="42">
        <f t="shared" si="13"/>
        <v>1438.507238489608</v>
      </c>
      <c r="Z6" s="41">
        <f t="shared" si="14"/>
        <v>78.478380750074621</v>
      </c>
    </row>
    <row r="7" spans="1:27" x14ac:dyDescent="0.25">
      <c r="A7" s="43" t="s">
        <v>156</v>
      </c>
      <c r="B7" s="43" t="s">
        <v>28</v>
      </c>
      <c r="C7" s="42">
        <v>5.96E-2</v>
      </c>
      <c r="D7" s="42">
        <v>4.8</v>
      </c>
      <c r="E7" s="42">
        <v>2.82</v>
      </c>
      <c r="F7" s="42">
        <v>4.8099999999999996</v>
      </c>
      <c r="G7" s="42">
        <v>2.83</v>
      </c>
      <c r="H7" s="42">
        <v>4.8099999999999996</v>
      </c>
      <c r="I7" s="42">
        <v>2.82</v>
      </c>
      <c r="J7" s="42">
        <f t="shared" si="0"/>
        <v>4.8066666666666658</v>
      </c>
      <c r="K7" s="42">
        <f t="shared" si="1"/>
        <v>2.8233333333333337</v>
      </c>
      <c r="L7" s="72">
        <f t="shared" si="2"/>
        <v>1.1402777439437002</v>
      </c>
      <c r="M7" s="72"/>
      <c r="N7" s="42">
        <f t="shared" si="3"/>
        <v>5.7735026918963907E-3</v>
      </c>
      <c r="O7" s="73">
        <f t="shared" si="4"/>
        <v>51.029517790789725</v>
      </c>
      <c r="P7" s="72"/>
      <c r="Q7" s="42">
        <f t="shared" si="5"/>
        <v>51.424072768348552</v>
      </c>
      <c r="R7" s="42">
        <f t="shared" si="6"/>
        <v>22.774383228385226</v>
      </c>
      <c r="S7" s="42">
        <f t="shared" si="7"/>
        <v>41.742657929174499</v>
      </c>
      <c r="T7" s="42">
        <f t="shared" si="8"/>
        <v>1.1679514637850871E-3</v>
      </c>
      <c r="U7" s="42">
        <f t="shared" si="9"/>
        <v>1.1589902703444315E-3</v>
      </c>
      <c r="V7" s="42">
        <f t="shared" si="10"/>
        <v>2.6169753710702718E-3</v>
      </c>
      <c r="W7" s="42">
        <f t="shared" si="11"/>
        <v>1.6479723683999303E-3</v>
      </c>
      <c r="X7" s="42">
        <f t="shared" si="12"/>
        <v>1.4277959995054547E-3</v>
      </c>
      <c r="Y7" s="42">
        <f t="shared" si="13"/>
        <v>1427.7959995054546</v>
      </c>
      <c r="Z7" s="41">
        <f t="shared" si="14"/>
        <v>78.925743543945799</v>
      </c>
    </row>
    <row r="8" spans="1:27" x14ac:dyDescent="0.25">
      <c r="A8" s="43" t="s">
        <v>156</v>
      </c>
      <c r="B8" s="43" t="s">
        <v>29</v>
      </c>
      <c r="C8" s="42">
        <v>3.6900000000000002E-2</v>
      </c>
      <c r="D8" s="42">
        <v>3.82</v>
      </c>
      <c r="E8" s="42">
        <v>2.86</v>
      </c>
      <c r="F8" s="42">
        <v>3.84</v>
      </c>
      <c r="G8" s="42">
        <v>2.86</v>
      </c>
      <c r="H8" s="42">
        <v>3.85</v>
      </c>
      <c r="I8" s="42">
        <v>2.85</v>
      </c>
      <c r="J8" s="42">
        <f t="shared" si="0"/>
        <v>3.8366666666666664</v>
      </c>
      <c r="K8" s="42">
        <f t="shared" si="1"/>
        <v>2.8566666666666669</v>
      </c>
      <c r="L8" s="72">
        <f t="shared" si="2"/>
        <v>0.55716544520755595</v>
      </c>
      <c r="M8" s="72"/>
      <c r="N8" s="42">
        <f t="shared" si="3"/>
        <v>5.7735026918961348E-3</v>
      </c>
      <c r="O8" s="73">
        <f t="shared" si="4"/>
        <v>32.778014296344239</v>
      </c>
      <c r="P8" s="72"/>
      <c r="Q8" s="42">
        <f t="shared" si="5"/>
        <v>33.12213807243316</v>
      </c>
      <c r="R8" s="42">
        <f t="shared" si="6"/>
        <v>14.745981417480992</v>
      </c>
      <c r="S8" s="42">
        <f t="shared" si="7"/>
        <v>26.882044595419462</v>
      </c>
      <c r="T8" s="42">
        <f t="shared" si="8"/>
        <v>1.1257545886211751E-3</v>
      </c>
      <c r="U8" s="42">
        <f t="shared" si="9"/>
        <v>1.1140585163706891E-3</v>
      </c>
      <c r="V8" s="42">
        <f t="shared" si="10"/>
        <v>2.5023766784526102E-3</v>
      </c>
      <c r="W8" s="42">
        <f t="shared" si="11"/>
        <v>1.5807299278148251E-3</v>
      </c>
      <c r="X8" s="42">
        <f t="shared" si="12"/>
        <v>1.3726634471206681E-3</v>
      </c>
      <c r="Y8" s="42">
        <f t="shared" si="13"/>
        <v>1372.663447120668</v>
      </c>
      <c r="Z8" s="41">
        <f t="shared" si="14"/>
        <v>57.554239213152812</v>
      </c>
    </row>
    <row r="9" spans="1:27" x14ac:dyDescent="0.25">
      <c r="A9" s="43" t="s">
        <v>156</v>
      </c>
      <c r="B9" s="43" t="s">
        <v>30</v>
      </c>
      <c r="C9" s="42">
        <v>1.67E-2</v>
      </c>
      <c r="D9" s="42">
        <v>2.78</v>
      </c>
      <c r="E9" s="42">
        <v>2.34</v>
      </c>
      <c r="F9" s="42">
        <v>2.85</v>
      </c>
      <c r="G9" s="42">
        <v>2.3199999999999998</v>
      </c>
      <c r="H9" s="42">
        <v>2.82</v>
      </c>
      <c r="I9" s="42">
        <v>2.31</v>
      </c>
      <c r="J9" s="42">
        <f t="shared" si="0"/>
        <v>2.8166666666666664</v>
      </c>
      <c r="K9" s="42">
        <f t="shared" si="1"/>
        <v>2.3233333333333337</v>
      </c>
      <c r="L9" s="72">
        <f t="shared" si="2"/>
        <v>0.26851443164195093</v>
      </c>
      <c r="M9" s="72"/>
      <c r="N9" s="42">
        <f t="shared" si="3"/>
        <v>1.5275252316519383E-2</v>
      </c>
      <c r="O9" s="73">
        <f t="shared" si="4"/>
        <v>14.20349852844196</v>
      </c>
      <c r="P9" s="72"/>
      <c r="Q9" s="42">
        <f t="shared" si="5"/>
        <v>14.800200070694196</v>
      </c>
      <c r="R9" s="42">
        <f t="shared" si="6"/>
        <v>6.4123550307245836</v>
      </c>
      <c r="S9" s="42">
        <f t="shared" si="7"/>
        <v>11.80535120995358</v>
      </c>
      <c r="T9" s="42">
        <f t="shared" si="8"/>
        <v>1.175766658232751E-3</v>
      </c>
      <c r="U9" s="42">
        <f t="shared" si="9"/>
        <v>1.1283631248382641E-3</v>
      </c>
      <c r="V9" s="42">
        <f t="shared" si="10"/>
        <v>2.6043473762732273E-3</v>
      </c>
      <c r="W9" s="42">
        <f t="shared" si="11"/>
        <v>1.6361590531147475E-3</v>
      </c>
      <c r="X9" s="42">
        <f t="shared" si="12"/>
        <v>1.414612721214049E-3</v>
      </c>
      <c r="Y9" s="42">
        <f t="shared" si="13"/>
        <v>1414.6127212140489</v>
      </c>
      <c r="Z9" s="41">
        <f t="shared" si="14"/>
        <v>33.020844049569313</v>
      </c>
    </row>
    <row r="10" spans="1:27" x14ac:dyDescent="0.25">
      <c r="A10" s="43" t="s">
        <v>156</v>
      </c>
      <c r="B10" s="43" t="s">
        <v>31</v>
      </c>
      <c r="C10" s="42">
        <v>6.7999999999999996E-3</v>
      </c>
      <c r="D10" s="42">
        <v>1.8</v>
      </c>
      <c r="E10" s="42">
        <v>2.34</v>
      </c>
      <c r="F10" s="42">
        <v>1.83</v>
      </c>
      <c r="G10" s="42">
        <v>2.3199999999999998</v>
      </c>
      <c r="H10" s="42">
        <v>1.83</v>
      </c>
      <c r="I10" s="42">
        <v>2.33</v>
      </c>
      <c r="J10" s="42">
        <f t="shared" si="0"/>
        <v>1.82</v>
      </c>
      <c r="K10" s="42">
        <f t="shared" si="1"/>
        <v>2.33</v>
      </c>
      <c r="L10" s="72">
        <f t="shared" si="2"/>
        <v>0.30315012782448214</v>
      </c>
      <c r="M10" s="72"/>
      <c r="N10" s="42">
        <f t="shared" si="3"/>
        <v>1.0000000000000009E-2</v>
      </c>
      <c r="O10" s="73">
        <f t="shared" si="4"/>
        <v>5.9545747156140942</v>
      </c>
      <c r="P10" s="72"/>
      <c r="Q10" s="42">
        <f t="shared" si="5"/>
        <v>6.1021101898119774</v>
      </c>
      <c r="R10" s="42">
        <f t="shared" si="6"/>
        <v>2.7237388395137754</v>
      </c>
      <c r="S10" s="42">
        <f t="shared" si="7"/>
        <v>4.9268079149799489</v>
      </c>
      <c r="T10" s="42">
        <f t="shared" si="8"/>
        <v>1.1419791210561235E-3</v>
      </c>
      <c r="U10" s="42">
        <f t="shared" si="9"/>
        <v>1.1143686017589804E-3</v>
      </c>
      <c r="V10" s="42">
        <f t="shared" si="10"/>
        <v>2.4965682837690462E-3</v>
      </c>
      <c r="W10" s="42">
        <f t="shared" si="11"/>
        <v>1.5843053355280501E-3</v>
      </c>
      <c r="X10" s="42">
        <f t="shared" si="12"/>
        <v>1.3802040017278966E-3</v>
      </c>
      <c r="Y10" s="42">
        <f t="shared" si="13"/>
        <v>1380.2040017278966</v>
      </c>
      <c r="Z10" s="41">
        <f t="shared" si="14"/>
        <v>18.525343559688295</v>
      </c>
    </row>
    <row r="11" spans="1:27" x14ac:dyDescent="0.25">
      <c r="A11" s="43" t="s">
        <v>156</v>
      </c>
      <c r="B11" s="43" t="s">
        <v>32</v>
      </c>
      <c r="C11" s="42">
        <v>3.0099999999999998E-2</v>
      </c>
      <c r="D11" s="42">
        <v>3.74</v>
      </c>
      <c r="E11" s="42">
        <v>2.2799999999999998</v>
      </c>
      <c r="F11" s="42">
        <v>3.84</v>
      </c>
      <c r="G11" s="42">
        <v>2.29</v>
      </c>
      <c r="H11" s="42">
        <v>3.8</v>
      </c>
      <c r="I11" s="42">
        <v>2.2799999999999998</v>
      </c>
      <c r="J11" s="42">
        <f t="shared" si="0"/>
        <v>3.793333333333333</v>
      </c>
      <c r="K11" s="42">
        <f t="shared" si="1"/>
        <v>2.2833333333333332</v>
      </c>
      <c r="L11" s="72">
        <f t="shared" si="2"/>
        <v>0.84005952170069376</v>
      </c>
      <c r="M11" s="72"/>
      <c r="N11" s="42">
        <f t="shared" si="3"/>
        <v>5.7735026918963907E-3</v>
      </c>
      <c r="O11" s="73">
        <f t="shared" si="4"/>
        <v>25.047704598770977</v>
      </c>
      <c r="P11" s="72"/>
      <c r="Q11" s="42">
        <f t="shared" si="5"/>
        <v>26.520872792262917</v>
      </c>
      <c r="R11" s="42">
        <f t="shared" si="6"/>
        <v>11.49236480585194</v>
      </c>
      <c r="S11" s="42">
        <f t="shared" si="7"/>
        <v>21.020314065628614</v>
      </c>
      <c r="T11" s="42">
        <f t="shared" si="8"/>
        <v>1.2017069221375647E-3</v>
      </c>
      <c r="U11" s="42">
        <f t="shared" si="9"/>
        <v>1.1349551063335004E-3</v>
      </c>
      <c r="V11" s="42">
        <f t="shared" si="10"/>
        <v>2.6191302232829406E-3</v>
      </c>
      <c r="W11" s="42">
        <f t="shared" si="11"/>
        <v>1.6519307505846684E-3</v>
      </c>
      <c r="X11" s="42">
        <f t="shared" si="12"/>
        <v>1.4319481576737258E-3</v>
      </c>
      <c r="Y11" s="42">
        <f t="shared" si="13"/>
        <v>1431.9481576737257</v>
      </c>
      <c r="Z11" s="41">
        <f t="shared" si="14"/>
        <v>49.813511994340232</v>
      </c>
    </row>
    <row r="12" spans="1:27" x14ac:dyDescent="0.25">
      <c r="A12" s="43" t="s">
        <v>156</v>
      </c>
      <c r="B12" s="43" t="s">
        <v>33</v>
      </c>
      <c r="C12" s="42">
        <v>1.67E-2</v>
      </c>
      <c r="D12" s="42">
        <v>2.76</v>
      </c>
      <c r="E12" s="42">
        <v>2.31</v>
      </c>
      <c r="F12" s="42">
        <v>2.78</v>
      </c>
      <c r="G12" s="42">
        <v>2.3199999999999998</v>
      </c>
      <c r="H12" s="42">
        <v>2.83</v>
      </c>
      <c r="I12" s="42">
        <v>2.31</v>
      </c>
      <c r="J12" s="42">
        <f t="shared" si="0"/>
        <v>2.7899999999999996</v>
      </c>
      <c r="K12" s="42">
        <f t="shared" si="1"/>
        <v>2.313333333333333</v>
      </c>
      <c r="L12" s="72">
        <f t="shared" si="2"/>
        <v>0.25696951829610704</v>
      </c>
      <c r="M12" s="72"/>
      <c r="N12" s="42">
        <f t="shared" si="3"/>
        <v>5.7735026918961348E-3</v>
      </c>
      <c r="O12" s="73">
        <f t="shared" si="4"/>
        <v>13.820381304336685</v>
      </c>
      <c r="P12" s="72"/>
      <c r="Q12" s="42">
        <f t="shared" si="5"/>
        <v>14.082101105121943</v>
      </c>
      <c r="R12" s="42">
        <f t="shared" si="6"/>
        <v>6.4579133601893917</v>
      </c>
      <c r="S12" s="42">
        <f t="shared" si="7"/>
        <v>11.453465256549341</v>
      </c>
      <c r="T12" s="42">
        <f t="shared" si="8"/>
        <v>1.2083602928350263E-3</v>
      </c>
      <c r="U12" s="42">
        <f t="shared" si="9"/>
        <v>1.1859025777002747E-3</v>
      </c>
      <c r="V12" s="42">
        <f t="shared" si="10"/>
        <v>2.585974612627853E-3</v>
      </c>
      <c r="W12" s="42">
        <f t="shared" si="11"/>
        <v>1.6600791610543845E-3</v>
      </c>
      <c r="X12" s="42">
        <f t="shared" si="12"/>
        <v>1.4580740086892546E-3</v>
      </c>
      <c r="Y12" s="42">
        <f t="shared" si="13"/>
        <v>1458.0740086892545</v>
      </c>
      <c r="Z12" s="41">
        <f t="shared" si="14"/>
        <v>32.503702992203387</v>
      </c>
    </row>
    <row r="13" spans="1:27" x14ac:dyDescent="0.25">
      <c r="A13" s="43" t="s">
        <v>156</v>
      </c>
      <c r="B13" s="43" t="s">
        <v>34</v>
      </c>
      <c r="C13" s="42">
        <v>3.7600000000000001E-2</v>
      </c>
      <c r="D13" s="42">
        <v>3.79</v>
      </c>
      <c r="E13" s="42">
        <v>2.87</v>
      </c>
      <c r="F13" s="42">
        <v>3.81</v>
      </c>
      <c r="G13" s="42">
        <v>2.87</v>
      </c>
      <c r="H13" s="42">
        <v>3.84</v>
      </c>
      <c r="I13" s="42">
        <v>2.88</v>
      </c>
      <c r="J13" s="42">
        <f t="shared" si="0"/>
        <v>3.813333333333333</v>
      </c>
      <c r="K13" s="42">
        <f t="shared" si="1"/>
        <v>2.8733333333333335</v>
      </c>
      <c r="L13" s="72">
        <f t="shared" si="2"/>
        <v>0.52829915767489299</v>
      </c>
      <c r="M13" s="72"/>
      <c r="N13" s="42">
        <f t="shared" si="3"/>
        <v>5.7735026918961348E-3</v>
      </c>
      <c r="O13" s="73">
        <f t="shared" si="4"/>
        <v>32.378013367920417</v>
      </c>
      <c r="P13" s="72"/>
      <c r="Q13" s="42">
        <f t="shared" si="5"/>
        <v>32.720635462720914</v>
      </c>
      <c r="R13" s="42">
        <f t="shared" si="6"/>
        <v>14.823893962487569</v>
      </c>
      <c r="S13" s="42">
        <f t="shared" si="7"/>
        <v>26.640847597709637</v>
      </c>
      <c r="T13" s="42">
        <f t="shared" si="8"/>
        <v>1.161281872755462E-3</v>
      </c>
      <c r="U13" s="42">
        <f t="shared" si="9"/>
        <v>1.1491219369146489E-3</v>
      </c>
      <c r="V13" s="42">
        <f t="shared" si="10"/>
        <v>2.5364455584442414E-3</v>
      </c>
      <c r="W13" s="42">
        <f t="shared" si="11"/>
        <v>1.6156164560381173E-3</v>
      </c>
      <c r="X13" s="42">
        <f t="shared" si="12"/>
        <v>1.4113665063431593E-3</v>
      </c>
      <c r="Y13" s="42">
        <f t="shared" si="13"/>
        <v>1411.3665063431592</v>
      </c>
      <c r="Z13" s="41">
        <f t="shared" si="14"/>
        <v>57.264113131593788</v>
      </c>
    </row>
    <row r="14" spans="1:27" x14ac:dyDescent="0.25">
      <c r="A14" s="43" t="s">
        <v>156</v>
      </c>
      <c r="B14" s="43" t="s">
        <v>35</v>
      </c>
      <c r="C14" s="42">
        <v>1.66E-2</v>
      </c>
      <c r="D14" s="42">
        <v>2.85</v>
      </c>
      <c r="E14" s="42">
        <v>2.3199999999999998</v>
      </c>
      <c r="F14" s="42">
        <v>2.87</v>
      </c>
      <c r="G14" s="42">
        <v>2.3199999999999998</v>
      </c>
      <c r="H14" s="42">
        <v>2.85</v>
      </c>
      <c r="I14" s="42">
        <v>2.33</v>
      </c>
      <c r="J14" s="42">
        <f t="shared" si="0"/>
        <v>2.8566666666666669</v>
      </c>
      <c r="K14" s="42">
        <f t="shared" si="1"/>
        <v>2.3233333333333333</v>
      </c>
      <c r="L14" s="72">
        <f t="shared" si="2"/>
        <v>0.30315012782448247</v>
      </c>
      <c r="M14" s="72"/>
      <c r="N14" s="42">
        <f t="shared" si="3"/>
        <v>5.7735026918963907E-3</v>
      </c>
      <c r="O14" s="73">
        <f t="shared" si="4"/>
        <v>14.800200070694196</v>
      </c>
      <c r="P14" s="72"/>
      <c r="Q14" s="42">
        <f t="shared" si="5"/>
        <v>15.008651026445184</v>
      </c>
      <c r="R14" s="42">
        <f t="shared" si="6"/>
        <v>6.6062195717849574</v>
      </c>
      <c r="S14" s="42">
        <f t="shared" si="7"/>
        <v>12.138356889641445</v>
      </c>
      <c r="T14" s="42">
        <f t="shared" si="8"/>
        <v>1.121606459420071E-3</v>
      </c>
      <c r="U14" s="42">
        <f t="shared" si="9"/>
        <v>1.1060287810510663E-3</v>
      </c>
      <c r="V14" s="42">
        <f t="shared" si="10"/>
        <v>2.5127835700312316E-3</v>
      </c>
      <c r="W14" s="42">
        <f t="shared" si="11"/>
        <v>1.5801396035007896E-3</v>
      </c>
      <c r="X14" s="42">
        <f t="shared" si="12"/>
        <v>1.3675656557903652E-3</v>
      </c>
      <c r="Y14" s="42">
        <f t="shared" si="13"/>
        <v>1367.5656557903651</v>
      </c>
      <c r="Z14" s="41">
        <f t="shared" si="14"/>
        <v>33.669268773270261</v>
      </c>
    </row>
    <row r="15" spans="1:27" x14ac:dyDescent="0.25">
      <c r="A15" s="43" t="s">
        <v>156</v>
      </c>
      <c r="B15" s="43" t="s">
        <v>36</v>
      </c>
      <c r="C15" s="42">
        <v>2.0299999999999999E-2</v>
      </c>
      <c r="D15" s="42">
        <v>2.78</v>
      </c>
      <c r="E15" s="42">
        <v>2.88</v>
      </c>
      <c r="F15" s="42">
        <v>2.8</v>
      </c>
      <c r="G15" s="42">
        <v>2.89</v>
      </c>
      <c r="H15" s="42">
        <v>2.88</v>
      </c>
      <c r="I15" s="42">
        <v>2.88</v>
      </c>
      <c r="J15" s="42">
        <f t="shared" si="0"/>
        <v>2.8200000000000003</v>
      </c>
      <c r="K15" s="42">
        <f t="shared" si="1"/>
        <v>2.8833333333333329</v>
      </c>
      <c r="L15" s="72">
        <f t="shared" si="2"/>
        <v>6.0827625302982323E-2</v>
      </c>
      <c r="M15" s="72"/>
      <c r="N15" s="42">
        <f t="shared" si="3"/>
        <v>5.7735026918963907E-3</v>
      </c>
      <c r="O15" s="73">
        <f t="shared" si="4"/>
        <v>17.481228958082411</v>
      </c>
      <c r="P15" s="72"/>
      <c r="Q15" s="42">
        <f t="shared" si="5"/>
        <v>17.795237426994021</v>
      </c>
      <c r="R15" s="42">
        <f t="shared" si="6"/>
        <v>8.3384403538992569</v>
      </c>
      <c r="S15" s="42">
        <f t="shared" si="7"/>
        <v>14.53830224632523</v>
      </c>
      <c r="T15" s="42">
        <f t="shared" si="8"/>
        <v>1.161245587977631E-3</v>
      </c>
      <c r="U15" s="42">
        <f t="shared" si="9"/>
        <v>1.1407546588395861E-3</v>
      </c>
      <c r="V15" s="42">
        <f t="shared" si="10"/>
        <v>2.4345080300906905E-3</v>
      </c>
      <c r="W15" s="42">
        <f t="shared" si="11"/>
        <v>1.5788360923026359E-3</v>
      </c>
      <c r="X15" s="42">
        <f t="shared" si="12"/>
        <v>1.3963115951266677E-3</v>
      </c>
      <c r="Y15" s="42">
        <f t="shared" si="13"/>
        <v>1396.3115951266677</v>
      </c>
      <c r="Z15" s="41">
        <f t="shared" si="14"/>
        <v>38.035890575542346</v>
      </c>
    </row>
    <row r="16" spans="1:27" x14ac:dyDescent="0.25">
      <c r="A16" s="43" t="s">
        <v>156</v>
      </c>
      <c r="B16" s="43" t="s">
        <v>37</v>
      </c>
      <c r="C16" s="42">
        <v>2.06E-2</v>
      </c>
      <c r="D16" s="42">
        <v>2.79</v>
      </c>
      <c r="E16" s="42">
        <v>2.91</v>
      </c>
      <c r="F16" s="42">
        <v>2.83</v>
      </c>
      <c r="G16" s="42">
        <v>2.91</v>
      </c>
      <c r="H16" s="42">
        <v>2.86</v>
      </c>
      <c r="I16" s="42">
        <v>2.93</v>
      </c>
      <c r="J16" s="42">
        <f t="shared" si="0"/>
        <v>2.8266666666666667</v>
      </c>
      <c r="K16" s="42">
        <f t="shared" si="1"/>
        <v>2.9166666666666665</v>
      </c>
      <c r="L16" s="72">
        <f t="shared" si="2"/>
        <v>7.5718777944003723E-2</v>
      </c>
      <c r="M16" s="72"/>
      <c r="N16" s="42">
        <f t="shared" si="3"/>
        <v>1.1547005383792526E-2</v>
      </c>
      <c r="O16" s="73">
        <f t="shared" si="4"/>
        <v>17.790627925173048</v>
      </c>
      <c r="P16" s="72"/>
      <c r="Q16" s="42">
        <f t="shared" si="5"/>
        <v>18.304410270926429</v>
      </c>
      <c r="R16" s="42">
        <f t="shared" si="6"/>
        <v>8.3657917576731098</v>
      </c>
      <c r="S16" s="42">
        <f t="shared" si="7"/>
        <v>14.820276651257529</v>
      </c>
      <c r="T16" s="42">
        <f t="shared" si="8"/>
        <v>1.1579130363831508E-3</v>
      </c>
      <c r="U16" s="42">
        <f t="shared" si="9"/>
        <v>1.1254118376443814E-3</v>
      </c>
      <c r="V16" s="42">
        <f t="shared" si="10"/>
        <v>2.4624088904801706E-3</v>
      </c>
      <c r="W16" s="42">
        <f t="shared" si="11"/>
        <v>1.5819112548359009E-3</v>
      </c>
      <c r="X16" s="42">
        <f t="shared" si="12"/>
        <v>1.3899875477865692E-3</v>
      </c>
      <c r="Y16" s="42">
        <f t="shared" si="13"/>
        <v>1389.9875477865692</v>
      </c>
      <c r="Z16" s="41">
        <f t="shared" si="14"/>
        <v>38.451418563857153</v>
      </c>
    </row>
    <row r="17" spans="1:26" x14ac:dyDescent="0.25">
      <c r="A17" s="43" t="s">
        <v>156</v>
      </c>
      <c r="B17" s="43" t="s">
        <v>38</v>
      </c>
      <c r="C17" s="42">
        <v>2.1000000000000001E-2</v>
      </c>
      <c r="D17" s="42">
        <v>2.8</v>
      </c>
      <c r="E17" s="42">
        <v>2.92</v>
      </c>
      <c r="F17" s="42">
        <v>2.81</v>
      </c>
      <c r="G17" s="42">
        <v>2.9</v>
      </c>
      <c r="H17" s="42">
        <v>2.83</v>
      </c>
      <c r="I17" s="42">
        <v>2.9</v>
      </c>
      <c r="J17" s="42">
        <f t="shared" si="0"/>
        <v>2.813333333333333</v>
      </c>
      <c r="K17" s="42">
        <f t="shared" si="1"/>
        <v>2.9066666666666667</v>
      </c>
      <c r="L17" s="72">
        <f t="shared" si="2"/>
        <v>5.773502691896263E-2</v>
      </c>
      <c r="M17" s="72"/>
      <c r="N17" s="42">
        <f t="shared" si="3"/>
        <v>1.1547005383792526E-2</v>
      </c>
      <c r="O17" s="73">
        <f t="shared" si="4"/>
        <v>17.9799630750251</v>
      </c>
      <c r="P17" s="72"/>
      <c r="Q17" s="42">
        <f t="shared" si="5"/>
        <v>17.984589070207516</v>
      </c>
      <c r="R17" s="42">
        <f t="shared" si="6"/>
        <v>8.1073371188524828</v>
      </c>
      <c r="S17" s="42">
        <f t="shared" si="7"/>
        <v>14.690629754695033</v>
      </c>
      <c r="T17" s="42">
        <f t="shared" si="8"/>
        <v>1.1679668035119524E-3</v>
      </c>
      <c r="U17" s="42">
        <f t="shared" si="9"/>
        <v>1.1676663791438907E-3</v>
      </c>
      <c r="V17" s="42">
        <f t="shared" si="10"/>
        <v>2.5902463030885231E-3</v>
      </c>
      <c r="W17" s="42">
        <f t="shared" si="11"/>
        <v>1.6419598285814553E-3</v>
      </c>
      <c r="X17" s="42">
        <f t="shared" si="12"/>
        <v>1.429482626045254E-3</v>
      </c>
      <c r="Y17" s="42">
        <f t="shared" si="13"/>
        <v>1429.4826260452539</v>
      </c>
      <c r="Z17" s="41">
        <f t="shared" si="14"/>
        <v>38.122738159121582</v>
      </c>
    </row>
    <row r="18" spans="1:26" x14ac:dyDescent="0.25">
      <c r="A18" s="43" t="s">
        <v>156</v>
      </c>
      <c r="B18" s="43" t="s">
        <v>39</v>
      </c>
      <c r="C18" s="42">
        <v>2.0299999999999999E-2</v>
      </c>
      <c r="D18" s="42">
        <v>2.78</v>
      </c>
      <c r="E18" s="42">
        <v>2.88</v>
      </c>
      <c r="F18" s="42">
        <v>2.81</v>
      </c>
      <c r="G18" s="42">
        <v>2.89</v>
      </c>
      <c r="H18" s="42">
        <v>2.83</v>
      </c>
      <c r="I18" s="42">
        <v>2.9</v>
      </c>
      <c r="J18" s="42">
        <f t="shared" si="0"/>
        <v>2.8066666666666666</v>
      </c>
      <c r="K18" s="42">
        <f t="shared" si="1"/>
        <v>2.89</v>
      </c>
      <c r="L18" s="72">
        <f t="shared" si="2"/>
        <v>6.6583281184794035E-2</v>
      </c>
      <c r="M18" s="72"/>
      <c r="N18" s="42">
        <f t="shared" si="3"/>
        <v>1.0000000000000009E-2</v>
      </c>
      <c r="O18" s="73">
        <f t="shared" si="4"/>
        <v>17.481228958082411</v>
      </c>
      <c r="P18" s="72"/>
      <c r="Q18" s="42">
        <f t="shared" si="5"/>
        <v>17.92257324582749</v>
      </c>
      <c r="R18" s="42">
        <f t="shared" si="6"/>
        <v>8.1073371188524828</v>
      </c>
      <c r="S18" s="42">
        <f t="shared" si="7"/>
        <v>14.503713107587464</v>
      </c>
      <c r="T18" s="42">
        <f t="shared" si="8"/>
        <v>1.161245587977631E-3</v>
      </c>
      <c r="U18" s="42">
        <f t="shared" si="9"/>
        <v>1.1326498556632203E-3</v>
      </c>
      <c r="V18" s="42">
        <f t="shared" si="10"/>
        <v>2.5039047596522386E-3</v>
      </c>
      <c r="W18" s="42">
        <f t="shared" si="11"/>
        <v>1.5992667344310301E-3</v>
      </c>
      <c r="X18" s="42">
        <f t="shared" si="12"/>
        <v>1.3996415848421787E-3</v>
      </c>
      <c r="Y18" s="42">
        <f t="shared" si="13"/>
        <v>1399.6415848421786</v>
      </c>
      <c r="Z18" s="41">
        <f t="shared" si="14"/>
        <v>37.856051849416843</v>
      </c>
    </row>
    <row r="19" spans="1:26" x14ac:dyDescent="0.25">
      <c r="A19" s="43" t="s">
        <v>156</v>
      </c>
      <c r="B19" s="43" t="s">
        <v>40</v>
      </c>
      <c r="C19" s="42">
        <v>2.29E-2</v>
      </c>
      <c r="D19" s="42">
        <v>4.78</v>
      </c>
      <c r="E19" s="42">
        <v>1.02</v>
      </c>
      <c r="F19" s="42">
        <v>4.71</v>
      </c>
      <c r="G19" s="42">
        <v>0.99</v>
      </c>
      <c r="H19" s="42">
        <v>4.76</v>
      </c>
      <c r="I19" s="42">
        <v>0.99</v>
      </c>
      <c r="J19" s="42">
        <f t="shared" si="0"/>
        <v>4.75</v>
      </c>
      <c r="K19" s="42">
        <f t="shared" si="1"/>
        <v>1</v>
      </c>
      <c r="L19" s="72">
        <f t="shared" si="2"/>
        <v>2.1881575202286814</v>
      </c>
      <c r="M19" s="72"/>
      <c r="N19" s="42">
        <f t="shared" si="3"/>
        <v>1.7320508075688787E-2</v>
      </c>
      <c r="O19" s="73">
        <f t="shared" si="4"/>
        <v>18.303993224501664</v>
      </c>
      <c r="P19" s="72"/>
      <c r="Q19" s="42">
        <f t="shared" si="5"/>
        <v>17.249117882659078</v>
      </c>
      <c r="R19" s="42">
        <f t="shared" si="6"/>
        <v>7.8299044678773706</v>
      </c>
      <c r="S19" s="42">
        <f t="shared" si="7"/>
        <v>14.461005191679371</v>
      </c>
      <c r="T19" s="42">
        <f t="shared" si="8"/>
        <v>1.2510931204534176E-3</v>
      </c>
      <c r="U19" s="42">
        <f t="shared" si="9"/>
        <v>1.3276041218908869E-3</v>
      </c>
      <c r="V19" s="42">
        <f t="shared" si="10"/>
        <v>2.9246844701552306E-3</v>
      </c>
      <c r="W19" s="42">
        <f t="shared" si="11"/>
        <v>1.8344605708331782E-3</v>
      </c>
      <c r="X19" s="42">
        <f t="shared" si="12"/>
        <v>1.5835690324747474E-3</v>
      </c>
      <c r="Y19" s="42">
        <f t="shared" si="13"/>
        <v>1583.5690324747475</v>
      </c>
      <c r="Z19" s="41">
        <f t="shared" si="14"/>
        <v>50.363657227861367</v>
      </c>
    </row>
    <row r="20" spans="1:26" x14ac:dyDescent="0.25">
      <c r="A20" s="43" t="s">
        <v>156</v>
      </c>
      <c r="B20" s="43" t="s">
        <v>81</v>
      </c>
      <c r="C20" s="42">
        <v>1.44E-2</v>
      </c>
      <c r="D20" s="44">
        <v>3.79</v>
      </c>
      <c r="E20" s="44">
        <v>0.99</v>
      </c>
      <c r="F20" s="42">
        <v>3.77</v>
      </c>
      <c r="G20" s="42">
        <v>1.02</v>
      </c>
      <c r="H20" s="42">
        <v>3.75</v>
      </c>
      <c r="I20" s="42">
        <v>1</v>
      </c>
      <c r="J20" s="42">
        <f t="shared" si="0"/>
        <v>3.77</v>
      </c>
      <c r="K20" s="42">
        <f t="shared" si="1"/>
        <v>1.0033333333333332</v>
      </c>
      <c r="L20" s="72">
        <f t="shared" si="2"/>
        <v>1.6050649000377935</v>
      </c>
      <c r="M20" s="72"/>
      <c r="N20" s="42">
        <f t="shared" si="3"/>
        <v>1.527525231651948E-2</v>
      </c>
      <c r="O20" s="73">
        <f t="shared" si="4"/>
        <v>11.168722381268713</v>
      </c>
      <c r="P20" s="72"/>
      <c r="Q20" s="42">
        <f t="shared" si="5"/>
        <v>11.386041267682623</v>
      </c>
      <c r="R20" s="42">
        <f t="shared" si="6"/>
        <v>4.908738521234052</v>
      </c>
      <c r="S20" s="42">
        <f t="shared" si="7"/>
        <v>9.1545007233951292</v>
      </c>
      <c r="T20" s="42">
        <f t="shared" si="8"/>
        <v>1.2893148838716349E-3</v>
      </c>
      <c r="U20" s="42">
        <f t="shared" si="9"/>
        <v>1.2647064648247846E-3</v>
      </c>
      <c r="V20" s="42">
        <f t="shared" si="10"/>
        <v>2.9335439110698149E-3</v>
      </c>
      <c r="W20" s="42">
        <f t="shared" si="11"/>
        <v>1.8291884199220781E-3</v>
      </c>
      <c r="X20" s="42">
        <f t="shared" si="12"/>
        <v>1.5729967624776671E-3</v>
      </c>
      <c r="Y20" s="42">
        <f t="shared" si="13"/>
        <v>1572.9967624776671</v>
      </c>
      <c r="Z20" s="41">
        <f t="shared" si="14"/>
        <v>34.20885476481682</v>
      </c>
    </row>
    <row r="21" spans="1:26" x14ac:dyDescent="0.25">
      <c r="A21" s="43" t="s">
        <v>156</v>
      </c>
      <c r="B21" s="43" t="s">
        <v>82</v>
      </c>
      <c r="C21" s="42">
        <v>5.8900000000000001E-2</v>
      </c>
      <c r="D21" s="42">
        <v>4.8</v>
      </c>
      <c r="E21" s="42">
        <v>2.84</v>
      </c>
      <c r="F21" s="42">
        <v>4.79</v>
      </c>
      <c r="G21" s="42">
        <v>2.87</v>
      </c>
      <c r="H21" s="42">
        <v>4.78</v>
      </c>
      <c r="I21" s="42">
        <v>2.85</v>
      </c>
      <c r="J21" s="42">
        <f t="shared" si="0"/>
        <v>4.79</v>
      </c>
      <c r="K21" s="42">
        <f t="shared" si="1"/>
        <v>2.8533333333333335</v>
      </c>
      <c r="L21" s="72">
        <f t="shared" si="2"/>
        <v>1.1201041618230576</v>
      </c>
      <c r="M21" s="72"/>
      <c r="N21" s="42">
        <f t="shared" si="3"/>
        <v>1.5275252316519577E-2</v>
      </c>
      <c r="O21" s="73">
        <f t="shared" si="4"/>
        <v>51.391429264483271</v>
      </c>
      <c r="P21" s="72"/>
      <c r="Q21" s="42">
        <f t="shared" si="5"/>
        <v>51.718128982317211</v>
      </c>
      <c r="R21" s="42">
        <f t="shared" si="6"/>
        <v>22.730449102322332</v>
      </c>
      <c r="S21" s="42">
        <f t="shared" si="7"/>
        <v>41.946669116374267</v>
      </c>
      <c r="T21" s="42">
        <f t="shared" si="8"/>
        <v>1.1461055051976521E-3</v>
      </c>
      <c r="U21" s="42">
        <f t="shared" si="9"/>
        <v>1.1388656387809064E-3</v>
      </c>
      <c r="V21" s="42">
        <f t="shared" si="10"/>
        <v>2.5912378472971874E-3</v>
      </c>
      <c r="W21" s="42">
        <f t="shared" si="11"/>
        <v>1.6254029970919151E-3</v>
      </c>
      <c r="X21" s="42">
        <f t="shared" si="12"/>
        <v>1.4041639357964622E-3</v>
      </c>
      <c r="Y21" s="42">
        <f t="shared" si="13"/>
        <v>1404.1639357964623</v>
      </c>
      <c r="Z21" s="41">
        <f t="shared" si="14"/>
        <v>78.978120874798165</v>
      </c>
    </row>
    <row r="22" spans="1:26" x14ac:dyDescent="0.25">
      <c r="A22" s="43" t="s">
        <v>156</v>
      </c>
      <c r="B22" s="43" t="s">
        <v>83</v>
      </c>
      <c r="C22" s="42">
        <v>7.9000000000000008E-3</v>
      </c>
      <c r="D22" s="42">
        <v>2.79</v>
      </c>
      <c r="E22" s="42">
        <v>1.02</v>
      </c>
      <c r="F22" s="42">
        <v>2.81</v>
      </c>
      <c r="G22" s="42">
        <v>1.02</v>
      </c>
      <c r="H22" s="42">
        <v>2.83</v>
      </c>
      <c r="I22" s="42">
        <v>1.02</v>
      </c>
      <c r="J22" s="42">
        <f t="shared" si="0"/>
        <v>2.81</v>
      </c>
      <c r="K22" s="42">
        <f t="shared" si="1"/>
        <v>1.02</v>
      </c>
      <c r="L22" s="72">
        <f t="shared" si="2"/>
        <v>1.0219099764656376</v>
      </c>
      <c r="M22" s="72"/>
      <c r="N22" s="42">
        <f t="shared" si="3"/>
        <v>0</v>
      </c>
      <c r="O22" s="73">
        <f t="shared" si="4"/>
        <v>6.2358902005761196</v>
      </c>
      <c r="P22" s="72"/>
      <c r="Q22" s="42">
        <f t="shared" si="5"/>
        <v>6.325614086762644</v>
      </c>
      <c r="R22" s="42">
        <f t="shared" si="6"/>
        <v>2.8515461590446667</v>
      </c>
      <c r="S22" s="42">
        <f t="shared" si="7"/>
        <v>5.1376834821278097</v>
      </c>
      <c r="T22" s="42">
        <f t="shared" si="8"/>
        <v>1.2668600225305662E-3</v>
      </c>
      <c r="U22" s="42">
        <f t="shared" si="9"/>
        <v>1.2488906043971303E-3</v>
      </c>
      <c r="V22" s="42">
        <f t="shared" si="10"/>
        <v>2.7704268349093399E-3</v>
      </c>
      <c r="W22" s="42">
        <f t="shared" si="11"/>
        <v>1.762059153945679E-3</v>
      </c>
      <c r="X22" s="42">
        <f t="shared" si="12"/>
        <v>1.5376579790252391E-3</v>
      </c>
      <c r="Y22" s="42">
        <f t="shared" si="13"/>
        <v>1537.6579790252392</v>
      </c>
      <c r="Z22" s="41">
        <f t="shared" si="14"/>
        <v>21.407597739724245</v>
      </c>
    </row>
    <row r="23" spans="1:26" x14ac:dyDescent="0.25">
      <c r="A23" s="43" t="s">
        <v>156</v>
      </c>
      <c r="B23" s="43" t="s">
        <v>84</v>
      </c>
      <c r="C23" s="42">
        <v>3.7499999999999999E-2</v>
      </c>
      <c r="D23" s="42">
        <v>2.78</v>
      </c>
      <c r="E23" s="42">
        <v>2.89</v>
      </c>
      <c r="F23" s="42">
        <v>3.83</v>
      </c>
      <c r="G23" s="42">
        <v>2.89</v>
      </c>
      <c r="H23" s="42">
        <v>3.81</v>
      </c>
      <c r="I23" s="42">
        <v>2.89</v>
      </c>
      <c r="J23" s="42">
        <f t="shared" si="0"/>
        <v>3.4733333333333332</v>
      </c>
      <c r="K23" s="42">
        <f t="shared" si="1"/>
        <v>2.89</v>
      </c>
      <c r="L23" s="72">
        <f t="shared" si="2"/>
        <v>6.3508529610859024E-2</v>
      </c>
      <c r="M23" s="72"/>
      <c r="N23" s="42">
        <f t="shared" si="3"/>
        <v>0</v>
      </c>
      <c r="O23" s="73">
        <f t="shared" si="4"/>
        <v>17.541927669742421</v>
      </c>
      <c r="P23" s="72"/>
      <c r="Q23" s="42">
        <f t="shared" si="5"/>
        <v>33.295479374085801</v>
      </c>
      <c r="R23" s="42">
        <f t="shared" si="6"/>
        <v>14.643846145917683</v>
      </c>
      <c r="S23" s="42">
        <f t="shared" si="7"/>
        <v>21.827084396581967</v>
      </c>
      <c r="T23" s="42">
        <f t="shared" si="8"/>
        <v>2.137735413462153E-3</v>
      </c>
      <c r="U23" s="42">
        <f t="shared" si="9"/>
        <v>1.1262790236078301E-3</v>
      </c>
      <c r="V23" s="42">
        <f t="shared" si="10"/>
        <v>2.5608026488624373E-3</v>
      </c>
      <c r="W23" s="42">
        <f t="shared" si="11"/>
        <v>1.9416056953108069E-3</v>
      </c>
      <c r="X23" s="42">
        <f t="shared" si="12"/>
        <v>1.7180489761551639E-3</v>
      </c>
      <c r="Y23" s="42">
        <f t="shared" si="13"/>
        <v>1718.0489761551639</v>
      </c>
      <c r="Z23" s="41">
        <f t="shared" si="14"/>
        <v>50.485254316847815</v>
      </c>
    </row>
    <row r="24" spans="1:26" x14ac:dyDescent="0.25">
      <c r="A24" s="43" t="s">
        <v>156</v>
      </c>
      <c r="B24" s="43" t="s">
        <v>85</v>
      </c>
      <c r="C24" s="42">
        <v>4.8399999999999999E-2</v>
      </c>
      <c r="D24" s="42">
        <v>4.82</v>
      </c>
      <c r="E24" s="42">
        <v>2.2999999999999998</v>
      </c>
      <c r="F24" s="42">
        <v>4.83</v>
      </c>
      <c r="G24" s="42">
        <v>2.2999999999999998</v>
      </c>
      <c r="H24" s="42">
        <v>4.8499999999999996</v>
      </c>
      <c r="I24" s="42">
        <v>2.31</v>
      </c>
      <c r="J24" s="42">
        <f t="shared" si="0"/>
        <v>4.833333333333333</v>
      </c>
      <c r="K24" s="42">
        <f t="shared" si="1"/>
        <v>2.3033333333333332</v>
      </c>
      <c r="L24" s="72">
        <f t="shared" si="2"/>
        <v>1.4520445355888139</v>
      </c>
      <c r="M24" s="72"/>
      <c r="N24" s="42">
        <f t="shared" si="3"/>
        <v>5.7735026918963907E-3</v>
      </c>
      <c r="O24" s="73">
        <f t="shared" si="4"/>
        <v>41.967373870024218</v>
      </c>
      <c r="P24" s="72"/>
      <c r="Q24" s="42">
        <f t="shared" si="5"/>
        <v>42.141692992390283</v>
      </c>
      <c r="R24" s="42">
        <f t="shared" si="6"/>
        <v>18.967182386476914</v>
      </c>
      <c r="S24" s="42">
        <f t="shared" si="7"/>
        <v>34.358749749630469</v>
      </c>
      <c r="T24" s="42">
        <f t="shared" si="8"/>
        <v>1.153276832376933E-3</v>
      </c>
      <c r="U24" s="42">
        <f t="shared" si="9"/>
        <v>1.1485063025052128E-3</v>
      </c>
      <c r="V24" s="42">
        <f t="shared" si="10"/>
        <v>2.5517759577462534E-3</v>
      </c>
      <c r="W24" s="42">
        <f t="shared" si="11"/>
        <v>1.6178530308761331E-3</v>
      </c>
      <c r="X24" s="42">
        <f t="shared" si="12"/>
        <v>1.408665925060924E-3</v>
      </c>
      <c r="Y24" s="42">
        <f t="shared" si="13"/>
        <v>1408.6659250609241</v>
      </c>
      <c r="Z24" s="41">
        <f t="shared" si="14"/>
        <v>71.670200403895137</v>
      </c>
    </row>
    <row r="25" spans="1:26" x14ac:dyDescent="0.25">
      <c r="A25" s="43" t="s">
        <v>156</v>
      </c>
      <c r="B25" s="43" t="s">
        <v>86</v>
      </c>
      <c r="C25" s="42">
        <v>7.9000000000000008E-3</v>
      </c>
      <c r="D25" s="42">
        <v>2.77</v>
      </c>
      <c r="E25" s="42">
        <v>1.01</v>
      </c>
      <c r="F25" s="42">
        <v>2.86</v>
      </c>
      <c r="G25" s="42">
        <v>0.99</v>
      </c>
      <c r="H25" s="42">
        <v>2.8</v>
      </c>
      <c r="I25" s="42">
        <v>0.99</v>
      </c>
      <c r="J25" s="42">
        <f t="shared" si="0"/>
        <v>2.81</v>
      </c>
      <c r="K25" s="42">
        <f t="shared" si="1"/>
        <v>0.9966666666666667</v>
      </c>
      <c r="L25" s="72">
        <f t="shared" si="2"/>
        <v>1.027683479157534</v>
      </c>
      <c r="M25" s="72"/>
      <c r="N25" s="42">
        <f t="shared" si="3"/>
        <v>1.1547005383792525E-2</v>
      </c>
      <c r="O25" s="73">
        <f t="shared" si="4"/>
        <v>6.0865443836116038</v>
      </c>
      <c r="P25" s="72"/>
      <c r="Q25" s="42">
        <f t="shared" si="5"/>
        <v>6.3600003891525088</v>
      </c>
      <c r="R25" s="42">
        <f t="shared" si="6"/>
        <v>2.7093095044558368</v>
      </c>
      <c r="S25" s="42">
        <f t="shared" si="7"/>
        <v>5.0519514257399836</v>
      </c>
      <c r="T25" s="42">
        <f t="shared" si="8"/>
        <v>1.2979450246467007E-3</v>
      </c>
      <c r="U25" s="42">
        <f t="shared" si="9"/>
        <v>1.2421382887765362E-3</v>
      </c>
      <c r="V25" s="42">
        <f t="shared" si="10"/>
        <v>2.9158721021010519E-3</v>
      </c>
      <c r="W25" s="42">
        <f t="shared" si="11"/>
        <v>1.8186518051747629E-3</v>
      </c>
      <c r="X25" s="42">
        <f t="shared" si="12"/>
        <v>1.5637521690626409E-3</v>
      </c>
      <c r="Y25" s="42">
        <f t="shared" si="13"/>
        <v>1563.7521690626409</v>
      </c>
      <c r="Z25" s="41">
        <f t="shared" si="14"/>
        <v>21.201613981403877</v>
      </c>
    </row>
    <row r="26" spans="1:26" x14ac:dyDescent="0.25">
      <c r="A26" s="43" t="s">
        <v>156</v>
      </c>
      <c r="B26" s="43" t="s">
        <v>87</v>
      </c>
      <c r="C26" s="42">
        <v>3.0200000000000001E-2</v>
      </c>
      <c r="D26" s="42">
        <v>3.79</v>
      </c>
      <c r="E26" s="42">
        <v>2.29</v>
      </c>
      <c r="F26" s="42">
        <v>3.81</v>
      </c>
      <c r="G26" s="42">
        <v>2.29</v>
      </c>
      <c r="H26" s="42">
        <v>3.88</v>
      </c>
      <c r="I26" s="42">
        <v>2.29</v>
      </c>
      <c r="J26" s="42">
        <f t="shared" si="0"/>
        <v>3.8266666666666667</v>
      </c>
      <c r="K26" s="42">
        <f t="shared" si="1"/>
        <v>2.29</v>
      </c>
      <c r="L26" s="72">
        <f t="shared" si="2"/>
        <v>0.8660254037844376</v>
      </c>
      <c r="M26" s="72"/>
      <c r="N26" s="42">
        <f t="shared" si="3"/>
        <v>0</v>
      </c>
      <c r="O26" s="73">
        <f t="shared" si="4"/>
        <v>25.834721467783186</v>
      </c>
      <c r="P26" s="72"/>
      <c r="Q26" s="42">
        <f t="shared" si="5"/>
        <v>26.108102860498569</v>
      </c>
      <c r="R26" s="42">
        <f t="shared" si="6"/>
        <v>12.03389718858033</v>
      </c>
      <c r="S26" s="42">
        <f t="shared" si="7"/>
        <v>21.325573838954028</v>
      </c>
      <c r="T26" s="42">
        <f t="shared" si="8"/>
        <v>1.1689694443836164E-3</v>
      </c>
      <c r="U26" s="42">
        <f t="shared" si="9"/>
        <v>1.1567290109651151E-3</v>
      </c>
      <c r="V26" s="42">
        <f t="shared" si="10"/>
        <v>2.5095776976272119E-3</v>
      </c>
      <c r="W26" s="42">
        <f t="shared" si="11"/>
        <v>1.611758717658648E-3</v>
      </c>
      <c r="X26" s="42">
        <f t="shared" si="12"/>
        <v>1.4161400873928954E-3</v>
      </c>
      <c r="Y26" s="42">
        <f t="shared" si="13"/>
        <v>1416.1400873928953</v>
      </c>
      <c r="Z26" s="41">
        <f t="shared" si="14"/>
        <v>50.531749888120942</v>
      </c>
    </row>
    <row r="27" spans="1:26" x14ac:dyDescent="0.25">
      <c r="A27" s="43" t="s">
        <v>156</v>
      </c>
      <c r="B27" s="43" t="s">
        <v>88</v>
      </c>
      <c r="C27" s="42">
        <v>5.9200000000000003E-2</v>
      </c>
      <c r="D27" s="42">
        <v>4.78</v>
      </c>
      <c r="E27" s="42">
        <v>2.85</v>
      </c>
      <c r="F27" s="42">
        <v>4.76</v>
      </c>
      <c r="G27" s="42">
        <v>2.86</v>
      </c>
      <c r="H27" s="42">
        <v>4.7699999999999996</v>
      </c>
      <c r="I27" s="42">
        <v>2.83</v>
      </c>
      <c r="J27" s="42">
        <f t="shared" si="0"/>
        <v>4.7699999999999996</v>
      </c>
      <c r="K27" s="42">
        <f t="shared" si="1"/>
        <v>2.8466666666666662</v>
      </c>
      <c r="L27" s="72">
        <f t="shared" si="2"/>
        <v>1.1172734669721629</v>
      </c>
      <c r="M27" s="72"/>
      <c r="N27" s="42">
        <f t="shared" si="3"/>
        <v>1.5275252316519385E-2</v>
      </c>
      <c r="O27" s="73">
        <f t="shared" si="4"/>
        <v>51.143510480225238</v>
      </c>
      <c r="P27" s="72"/>
      <c r="Q27" s="42">
        <f t="shared" si="5"/>
        <v>50.89437904120291</v>
      </c>
      <c r="R27" s="42">
        <f t="shared" si="6"/>
        <v>22.476596896739203</v>
      </c>
      <c r="S27" s="42">
        <f t="shared" si="7"/>
        <v>41.504828806055791</v>
      </c>
      <c r="T27" s="42">
        <f t="shared" si="8"/>
        <v>1.1575271123183816E-3</v>
      </c>
      <c r="U27" s="42">
        <f t="shared" si="9"/>
        <v>1.1631932860812204E-3</v>
      </c>
      <c r="V27" s="42">
        <f t="shared" si="10"/>
        <v>2.6338506790851623E-3</v>
      </c>
      <c r="W27" s="42">
        <f t="shared" si="11"/>
        <v>1.6515236924949217E-3</v>
      </c>
      <c r="X27" s="42">
        <f t="shared" si="12"/>
        <v>1.4263400597706449E-3</v>
      </c>
      <c r="Y27" s="42">
        <f t="shared" si="13"/>
        <v>1426.340059770645</v>
      </c>
      <c r="Z27" s="41">
        <f t="shared" si="14"/>
        <v>78.398601749965948</v>
      </c>
    </row>
    <row r="28" spans="1:26" x14ac:dyDescent="0.25">
      <c r="A28" s="43" t="s">
        <v>156</v>
      </c>
      <c r="B28" s="43" t="s">
        <v>89</v>
      </c>
      <c r="C28" s="42">
        <v>3.7100000000000001E-2</v>
      </c>
      <c r="D28" s="42">
        <v>3.78</v>
      </c>
      <c r="E28" s="42">
        <v>2.82</v>
      </c>
      <c r="F28" s="42">
        <v>3.85</v>
      </c>
      <c r="G28" s="42">
        <v>2.84</v>
      </c>
      <c r="H28" s="42">
        <v>3.82</v>
      </c>
      <c r="I28" s="42">
        <v>2.82</v>
      </c>
      <c r="J28" s="42">
        <f t="shared" si="0"/>
        <v>3.8166666666666664</v>
      </c>
      <c r="K28" s="42">
        <f t="shared" si="1"/>
        <v>2.8266666666666667</v>
      </c>
      <c r="L28" s="72">
        <f t="shared" si="2"/>
        <v>0.54857390872455192</v>
      </c>
      <c r="M28" s="72"/>
      <c r="N28" s="42">
        <f t="shared" si="3"/>
        <v>1.1547005383792526E-2</v>
      </c>
      <c r="O28" s="73">
        <f t="shared" si="4"/>
        <v>31.646274392444436</v>
      </c>
      <c r="P28" s="72"/>
      <c r="Q28" s="42">
        <f t="shared" si="5"/>
        <v>33.062042546562644</v>
      </c>
      <c r="R28" s="42">
        <f t="shared" si="6"/>
        <v>14.364258013316356</v>
      </c>
      <c r="S28" s="42">
        <f t="shared" si="7"/>
        <v>26.357524984107812</v>
      </c>
      <c r="T28" s="42">
        <f t="shared" si="8"/>
        <v>1.1723338911849175E-3</v>
      </c>
      <c r="U28" s="42">
        <f t="shared" si="9"/>
        <v>1.122132728120186E-3</v>
      </c>
      <c r="V28" s="42">
        <f t="shared" si="10"/>
        <v>2.5827996103666841E-3</v>
      </c>
      <c r="W28" s="42">
        <f t="shared" si="11"/>
        <v>1.6257554098905959E-3</v>
      </c>
      <c r="X28" s="42">
        <f t="shared" si="12"/>
        <v>1.4075676689055338E-3</v>
      </c>
      <c r="Y28" s="42">
        <f t="shared" si="13"/>
        <v>1407.5676689055338</v>
      </c>
      <c r="Z28" s="41">
        <f t="shared" si="14"/>
        <v>56.774600636286927</v>
      </c>
    </row>
    <row r="29" spans="1:26" x14ac:dyDescent="0.25">
      <c r="A29" s="43" t="s">
        <v>156</v>
      </c>
      <c r="B29" s="43" t="s">
        <v>90</v>
      </c>
      <c r="C29" s="42">
        <v>5.91E-2</v>
      </c>
      <c r="D29" s="42">
        <v>4.84</v>
      </c>
      <c r="E29" s="42">
        <v>2.85</v>
      </c>
      <c r="F29" s="42">
        <v>4.79</v>
      </c>
      <c r="G29" s="42">
        <v>2.87</v>
      </c>
      <c r="H29" s="42">
        <v>4.8099999999999996</v>
      </c>
      <c r="I29" s="42">
        <v>2.85</v>
      </c>
      <c r="J29" s="42">
        <f t="shared" si="0"/>
        <v>4.8133333333333326</v>
      </c>
      <c r="K29" s="42">
        <f t="shared" si="1"/>
        <v>2.8566666666666669</v>
      </c>
      <c r="L29" s="72">
        <f t="shared" si="2"/>
        <v>1.143197270815496</v>
      </c>
      <c r="M29" s="72"/>
      <c r="N29" s="42">
        <f t="shared" si="3"/>
        <v>1.1547005383792526E-2</v>
      </c>
      <c r="O29" s="73">
        <f t="shared" si="4"/>
        <v>52.435506166977298</v>
      </c>
      <c r="P29" s="72"/>
      <c r="Q29" s="42">
        <f t="shared" si="5"/>
        <v>51.718128982317211</v>
      </c>
      <c r="R29" s="42">
        <f t="shared" si="6"/>
        <v>23.016663901027623</v>
      </c>
      <c r="S29" s="42">
        <f t="shared" si="7"/>
        <v>42.39009968344071</v>
      </c>
      <c r="T29" s="42">
        <f t="shared" si="8"/>
        <v>1.1270988747929709E-3</v>
      </c>
      <c r="U29" s="42">
        <f t="shared" si="9"/>
        <v>1.1427327547020639E-3</v>
      </c>
      <c r="V29" s="42">
        <f t="shared" si="10"/>
        <v>2.5677048704422088E-3</v>
      </c>
      <c r="W29" s="42">
        <f t="shared" si="11"/>
        <v>1.6125121666457482E-3</v>
      </c>
      <c r="X29" s="42">
        <f t="shared" si="12"/>
        <v>1.3941934659589125E-3</v>
      </c>
      <c r="Y29" s="42">
        <f t="shared" si="13"/>
        <v>1394.1934659589124</v>
      </c>
      <c r="Z29" s="41">
        <f t="shared" si="14"/>
        <v>79.589666791404454</v>
      </c>
    </row>
    <row r="30" spans="1:26" x14ac:dyDescent="0.25">
      <c r="A30" s="43" t="s">
        <v>156</v>
      </c>
      <c r="B30" s="43" t="s">
        <v>91</v>
      </c>
      <c r="C30" s="42">
        <v>3.7100000000000001E-2</v>
      </c>
      <c r="D30" s="42">
        <v>3.82</v>
      </c>
      <c r="E30" s="42">
        <v>2.84</v>
      </c>
      <c r="F30" s="42">
        <v>3.83</v>
      </c>
      <c r="G30" s="42">
        <v>2.85</v>
      </c>
      <c r="H30" s="42">
        <v>3.84</v>
      </c>
      <c r="I30" s="42">
        <v>2.84</v>
      </c>
      <c r="J30" s="42">
        <f t="shared" si="0"/>
        <v>3.83</v>
      </c>
      <c r="K30" s="42">
        <f t="shared" si="1"/>
        <v>2.8433333333333333</v>
      </c>
      <c r="L30" s="72">
        <f t="shared" si="2"/>
        <v>0.56293871780150317</v>
      </c>
      <c r="M30" s="72"/>
      <c r="N30" s="42">
        <f t="shared" si="3"/>
        <v>5.7735026918963907E-3</v>
      </c>
      <c r="O30" s="73">
        <f t="shared" si="4"/>
        <v>32.548797413153025</v>
      </c>
      <c r="P30" s="72"/>
      <c r="Q30" s="42">
        <f t="shared" si="5"/>
        <v>32.834642289323362</v>
      </c>
      <c r="R30" s="42">
        <f t="shared" si="6"/>
        <v>14.618006546341908</v>
      </c>
      <c r="S30" s="42">
        <f t="shared" si="7"/>
        <v>26.667148749606095</v>
      </c>
      <c r="T30" s="42">
        <f t="shared" si="8"/>
        <v>1.1398270580960949E-3</v>
      </c>
      <c r="U30" s="42">
        <f t="shared" si="9"/>
        <v>1.1299041930498989E-3</v>
      </c>
      <c r="V30" s="42">
        <f t="shared" si="10"/>
        <v>2.5379657535646756E-3</v>
      </c>
      <c r="W30" s="42">
        <f t="shared" si="11"/>
        <v>1.6025656682368897E-3</v>
      </c>
      <c r="X30" s="42">
        <f t="shared" si="12"/>
        <v>1.391224849283822E-3</v>
      </c>
      <c r="Y30" s="42">
        <f t="shared" si="13"/>
        <v>1391.2248492838221</v>
      </c>
      <c r="Z30" s="41">
        <f t="shared" si="14"/>
        <v>57.253693515959377</v>
      </c>
    </row>
    <row r="31" spans="1:26" x14ac:dyDescent="0.25">
      <c r="A31" s="43" t="s">
        <v>156</v>
      </c>
      <c r="B31" s="43" t="s">
        <v>92</v>
      </c>
      <c r="C31" s="42">
        <v>7.7000000000000002E-3</v>
      </c>
      <c r="D31" s="42">
        <v>2.82</v>
      </c>
      <c r="E31" s="42">
        <v>1.02</v>
      </c>
      <c r="F31" s="42">
        <v>2.79</v>
      </c>
      <c r="G31" s="42">
        <v>1.03</v>
      </c>
      <c r="H31" s="42">
        <v>2.88</v>
      </c>
      <c r="I31" s="42">
        <v>1.03</v>
      </c>
      <c r="J31" s="42">
        <f t="shared" si="0"/>
        <v>2.8299999999999996</v>
      </c>
      <c r="K31" s="42">
        <f t="shared" si="1"/>
        <v>1.0266666666666666</v>
      </c>
      <c r="L31" s="72">
        <f t="shared" si="2"/>
        <v>1.0334569818494301</v>
      </c>
      <c r="M31" s="72"/>
      <c r="N31" s="42">
        <f t="shared" si="3"/>
        <v>5.7735026918962632E-3</v>
      </c>
      <c r="O31" s="73">
        <f t="shared" si="4"/>
        <v>6.3707163616939049</v>
      </c>
      <c r="P31" s="72"/>
      <c r="Q31" s="42">
        <f t="shared" si="5"/>
        <v>6.2970263790131398</v>
      </c>
      <c r="R31" s="42">
        <f t="shared" si="6"/>
        <v>2.9821505432348037</v>
      </c>
      <c r="S31" s="42">
        <f t="shared" si="7"/>
        <v>5.2166310946472825</v>
      </c>
      <c r="T31" s="42">
        <f t="shared" si="8"/>
        <v>1.208655285031816E-3</v>
      </c>
      <c r="U31" s="42">
        <f t="shared" si="9"/>
        <v>1.2227993876066201E-3</v>
      </c>
      <c r="V31" s="42">
        <f t="shared" si="10"/>
        <v>2.5820292732933741E-3</v>
      </c>
      <c r="W31" s="42">
        <f t="shared" si="11"/>
        <v>1.6711613153106031E-3</v>
      </c>
      <c r="X31" s="42">
        <f t="shared" si="12"/>
        <v>1.4760484037103698E-3</v>
      </c>
      <c r="Y31" s="42">
        <f t="shared" si="13"/>
        <v>1476.0484037103697</v>
      </c>
      <c r="Z31" s="41">
        <f t="shared" si="14"/>
        <v>21.708143436917666</v>
      </c>
    </row>
    <row r="32" spans="1:26" x14ac:dyDescent="0.25">
      <c r="A32" s="43" t="s">
        <v>156</v>
      </c>
      <c r="B32" s="43" t="s">
        <v>226</v>
      </c>
      <c r="C32" s="42">
        <v>6.0499999999999998E-2</v>
      </c>
      <c r="D32" s="42">
        <v>4.74</v>
      </c>
      <c r="E32" s="42">
        <v>2.88</v>
      </c>
      <c r="F32" s="42">
        <v>4.7300000000000004</v>
      </c>
      <c r="G32" s="42">
        <v>2.88</v>
      </c>
      <c r="H32" s="42">
        <v>4.82</v>
      </c>
      <c r="I32" s="42">
        <v>2.87</v>
      </c>
      <c r="J32" s="42">
        <f t="shared" si="0"/>
        <v>4.7633333333333336</v>
      </c>
      <c r="K32" s="42">
        <f t="shared" si="1"/>
        <v>2.8766666666666665</v>
      </c>
      <c r="L32" s="72">
        <f t="shared" si="2"/>
        <v>1.0767698608956942</v>
      </c>
      <c r="M32" s="72"/>
      <c r="N32" s="42">
        <f t="shared" si="3"/>
        <v>5.7735026918961348E-3</v>
      </c>
      <c r="O32" s="73">
        <f t="shared" si="4"/>
        <v>50.820513914731706</v>
      </c>
      <c r="P32" s="72"/>
      <c r="Q32" s="42">
        <f t="shared" si="5"/>
        <v>50.606307561239348</v>
      </c>
      <c r="R32" s="42">
        <f t="shared" si="6"/>
        <v>23.274659518254982</v>
      </c>
      <c r="S32" s="42">
        <f t="shared" si="7"/>
        <v>41.567160331408679</v>
      </c>
      <c r="T32" s="42">
        <f t="shared" si="8"/>
        <v>1.1904641519664451E-3</v>
      </c>
      <c r="U32" s="42">
        <f t="shared" si="9"/>
        <v>1.1955031480371922E-3</v>
      </c>
      <c r="V32" s="42">
        <f t="shared" si="10"/>
        <v>2.5993935572955693E-3</v>
      </c>
      <c r="W32" s="42">
        <f t="shared" si="11"/>
        <v>1.661786952433069E-3</v>
      </c>
      <c r="X32" s="42">
        <f t="shared" si="12"/>
        <v>1.4554758977433785E-3</v>
      </c>
      <c r="Y32" s="42">
        <f t="shared" si="13"/>
        <v>1455.4758977433785</v>
      </c>
      <c r="Z32" s="41">
        <f t="shared" si="14"/>
        <v>78.688082059701742</v>
      </c>
    </row>
    <row r="33" spans="1:26" x14ac:dyDescent="0.25">
      <c r="A33" s="43" t="s">
        <v>156</v>
      </c>
      <c r="B33" s="43" t="s">
        <v>225</v>
      </c>
      <c r="C33" s="42">
        <v>2.0500000000000001E-2</v>
      </c>
      <c r="D33" s="42">
        <v>2.8</v>
      </c>
      <c r="E33" s="42">
        <v>2.92</v>
      </c>
      <c r="F33" s="42">
        <v>2.8</v>
      </c>
      <c r="G33" s="42">
        <v>2.91</v>
      </c>
      <c r="H33" s="42">
        <v>2.8</v>
      </c>
      <c r="I33" s="42">
        <v>2.93</v>
      </c>
      <c r="J33" s="42">
        <f t="shared" si="0"/>
        <v>2.7999999999999994</v>
      </c>
      <c r="K33" s="42">
        <f t="shared" si="1"/>
        <v>2.92</v>
      </c>
      <c r="L33" s="72">
        <f t="shared" si="2"/>
        <v>7.0000000000000187E-2</v>
      </c>
      <c r="M33" s="72"/>
      <c r="N33" s="42">
        <f t="shared" si="3"/>
        <v>1.0000000000000009E-2</v>
      </c>
      <c r="O33" s="73">
        <f t="shared" si="4"/>
        <v>17.9799630750251</v>
      </c>
      <c r="P33" s="72"/>
      <c r="Q33" s="42">
        <f t="shared" si="5"/>
        <v>17.918387859014743</v>
      </c>
      <c r="R33" s="42">
        <f t="shared" si="6"/>
        <v>8.0184614626824278</v>
      </c>
      <c r="S33" s="42">
        <f t="shared" si="7"/>
        <v>14.638937465574088</v>
      </c>
      <c r="T33" s="42">
        <f t="shared" si="8"/>
        <v>1.140158070095001E-3</v>
      </c>
      <c r="U33" s="42">
        <f t="shared" si="9"/>
        <v>1.1440761390643997E-3</v>
      </c>
      <c r="V33" s="42">
        <f t="shared" si="10"/>
        <v>2.5566001776532957E-3</v>
      </c>
      <c r="W33" s="42">
        <f t="shared" si="11"/>
        <v>1.6136114622708989E-3</v>
      </c>
      <c r="X33" s="42">
        <f t="shared" si="12"/>
        <v>1.4003748597334459E-3</v>
      </c>
      <c r="Y33" s="42">
        <f t="shared" si="13"/>
        <v>1400.3748597334459</v>
      </c>
      <c r="Z33" s="41">
        <f t="shared" si="14"/>
        <v>38.000704737822126</v>
      </c>
    </row>
    <row r="34" spans="1:26" x14ac:dyDescent="0.25">
      <c r="A34" s="43" t="s">
        <v>156</v>
      </c>
      <c r="B34" s="43" t="s">
        <v>224</v>
      </c>
      <c r="C34" s="42">
        <v>4.8599999999999997E-2</v>
      </c>
      <c r="D34" s="42">
        <v>4.8</v>
      </c>
      <c r="E34" s="42">
        <v>2.31</v>
      </c>
      <c r="F34" s="42">
        <v>4.83</v>
      </c>
      <c r="G34" s="42">
        <v>2.31</v>
      </c>
      <c r="H34" s="42">
        <v>4.84</v>
      </c>
      <c r="I34" s="42">
        <v>2.31</v>
      </c>
      <c r="J34" s="42">
        <f t="shared" si="0"/>
        <v>4.8233333333333333</v>
      </c>
      <c r="K34" s="42">
        <f t="shared" si="1"/>
        <v>2.31</v>
      </c>
      <c r="L34" s="72">
        <f t="shared" si="2"/>
        <v>1.4376021702821684</v>
      </c>
      <c r="M34" s="72"/>
      <c r="N34" s="42">
        <f t="shared" si="3"/>
        <v>0</v>
      </c>
      <c r="O34" s="73">
        <f t="shared" si="4"/>
        <v>41.800775211604353</v>
      </c>
      <c r="P34" s="72"/>
      <c r="Q34" s="42">
        <f t="shared" si="5"/>
        <v>42.324917744531113</v>
      </c>
      <c r="R34" s="42">
        <f t="shared" si="6"/>
        <v>18.88904783558948</v>
      </c>
      <c r="S34" s="42">
        <f t="shared" si="7"/>
        <v>34.338246930574982</v>
      </c>
      <c r="T34" s="42">
        <f t="shared" si="8"/>
        <v>1.1626578634959886E-3</v>
      </c>
      <c r="U34" s="42">
        <f t="shared" si="9"/>
        <v>1.1482597625669267E-3</v>
      </c>
      <c r="V34" s="42">
        <f t="shared" si="10"/>
        <v>2.572919525802202E-3</v>
      </c>
      <c r="W34" s="42">
        <f t="shared" si="11"/>
        <v>1.6279457172883724E-3</v>
      </c>
      <c r="X34" s="42">
        <f t="shared" si="12"/>
        <v>1.4153314261575265E-3</v>
      </c>
      <c r="Y34" s="42">
        <f t="shared" si="13"/>
        <v>1415.3314261575265</v>
      </c>
      <c r="Z34" s="41">
        <f t="shared" si="14"/>
        <v>71.547172144922058</v>
      </c>
    </row>
    <row r="35" spans="1:26" ht="18.600000000000001" customHeight="1" x14ac:dyDescent="0.25">
      <c r="A35" s="43" t="s">
        <v>156</v>
      </c>
      <c r="B35" s="43" t="s">
        <v>223</v>
      </c>
      <c r="C35" s="42">
        <v>8.0000000000000002E-3</v>
      </c>
      <c r="D35" s="44">
        <v>2.8</v>
      </c>
      <c r="E35" s="44">
        <v>0.99</v>
      </c>
      <c r="F35" s="42">
        <v>2.8</v>
      </c>
      <c r="G35" s="42">
        <v>1</v>
      </c>
      <c r="H35" s="42">
        <v>2.79</v>
      </c>
      <c r="I35" s="42">
        <v>1</v>
      </c>
      <c r="J35" s="42">
        <f t="shared" ref="J35:J52" si="15">AVERAGE(D35,F35,H35)</f>
        <v>2.7966666666666669</v>
      </c>
      <c r="K35" s="42">
        <f t="shared" ref="K35:K52" si="16">AVERAGE(E35,G35,I35)</f>
        <v>0.9966666666666667</v>
      </c>
      <c r="L35" s="72">
        <f t="shared" ref="L35:L52" si="17">_xlfn.STDEV.S(D35,G35,I35)</f>
        <v>1.0392304845413265</v>
      </c>
      <c r="M35" s="72"/>
      <c r="N35" s="42">
        <f t="shared" ref="N35:N52" si="18">_xlfn.STDEV.S(E35,G35,I35)</f>
        <v>5.7735026918962623E-3</v>
      </c>
      <c r="O35" s="73">
        <f t="shared" ref="O35:O52" si="19">PI()*(D35/2)^2*E35</f>
        <v>6.0959463850256332</v>
      </c>
      <c r="P35" s="72"/>
      <c r="Q35" s="42">
        <f t="shared" ref="Q35:Q52" si="20">PI()*(F35/2)^2*G35</f>
        <v>6.1575216010359934</v>
      </c>
      <c r="R35" s="42">
        <f t="shared" ref="R35:R52" si="21">PI()*(H35/3)^2*I35</f>
        <v>2.7171634860898126</v>
      </c>
      <c r="S35" s="42">
        <f t="shared" ref="S35:S66" si="22">AVERAGE(O35:R35)</f>
        <v>4.9902104907171463</v>
      </c>
      <c r="T35" s="42">
        <f t="shared" ref="T35:T52" si="23">C35/O35</f>
        <v>1.3123475002423861E-3</v>
      </c>
      <c r="U35" s="42">
        <f t="shared" ref="U35:U52" si="24">C35/Q35</f>
        <v>1.2992240252399623E-3</v>
      </c>
      <c r="V35" s="42">
        <f t="shared" ref="V35:V52" si="25">C35/R35</f>
        <v>2.944246837172303E-3</v>
      </c>
      <c r="W35" s="42">
        <f t="shared" ref="W35:W66" si="26">AVERAGE(T35:V35)</f>
        <v>1.8519394542182172E-3</v>
      </c>
      <c r="X35" s="42">
        <f t="shared" ref="X35:X52" si="27">C35/S35</f>
        <v>1.6031387884101688E-3</v>
      </c>
      <c r="Y35" s="42">
        <f t="shared" ref="Y35:Y66" si="28">X35*10^6</f>
        <v>1603.1387884101689</v>
      </c>
      <c r="Z35" s="41">
        <f t="shared" ref="Z35:Z52" si="29">2*PI()*J35/2*(J35/2+K35)</f>
        <v>21.042439953621997</v>
      </c>
    </row>
    <row r="36" spans="1:26" x14ac:dyDescent="0.25">
      <c r="A36" s="43" t="s">
        <v>156</v>
      </c>
      <c r="B36" s="43" t="s">
        <v>222</v>
      </c>
      <c r="C36" s="42">
        <v>8.3000000000000001E-3</v>
      </c>
      <c r="D36" s="42">
        <v>1.85</v>
      </c>
      <c r="E36" s="42">
        <v>2.89</v>
      </c>
      <c r="F36" s="42">
        <v>1.86</v>
      </c>
      <c r="G36" s="42">
        <v>2.89</v>
      </c>
      <c r="H36" s="42">
        <v>1.82</v>
      </c>
      <c r="I36" s="42">
        <v>2.89</v>
      </c>
      <c r="J36" s="42">
        <f t="shared" si="15"/>
        <v>1.8433333333333335</v>
      </c>
      <c r="K36" s="42">
        <f t="shared" si="16"/>
        <v>2.89</v>
      </c>
      <c r="L36" s="72">
        <f t="shared" si="17"/>
        <v>0.60044427995720884</v>
      </c>
      <c r="M36" s="72"/>
      <c r="N36" s="42">
        <f t="shared" si="18"/>
        <v>0</v>
      </c>
      <c r="O36" s="73">
        <f t="shared" si="19"/>
        <v>7.7683928691182471</v>
      </c>
      <c r="P36" s="72"/>
      <c r="Q36" s="42">
        <f t="shared" si="20"/>
        <v>7.8526024747995589</v>
      </c>
      <c r="R36" s="42">
        <f t="shared" si="21"/>
        <v>3.3415501390688784</v>
      </c>
      <c r="S36" s="42">
        <f t="shared" si="22"/>
        <v>6.320848494328895</v>
      </c>
      <c r="T36" s="42">
        <f t="shared" si="23"/>
        <v>1.0684320605095882E-3</v>
      </c>
      <c r="U36" s="42">
        <f t="shared" si="24"/>
        <v>1.0569744268395379E-3</v>
      </c>
      <c r="V36" s="42">
        <f t="shared" si="25"/>
        <v>2.4838771392228136E-3</v>
      </c>
      <c r="W36" s="42">
        <f t="shared" si="26"/>
        <v>1.5364278755239799E-3</v>
      </c>
      <c r="X36" s="42">
        <f t="shared" si="27"/>
        <v>1.3131148464398115E-3</v>
      </c>
      <c r="Y36" s="42">
        <f t="shared" si="28"/>
        <v>1313.1148464398116</v>
      </c>
      <c r="Z36" s="41">
        <f t="shared" si="29"/>
        <v>22.073371036190007</v>
      </c>
    </row>
    <row r="37" spans="1:26" x14ac:dyDescent="0.25">
      <c r="A37" s="43" t="s">
        <v>156</v>
      </c>
      <c r="B37" s="43" t="s">
        <v>221</v>
      </c>
      <c r="C37" s="42">
        <v>1.6799999999999999E-2</v>
      </c>
      <c r="D37" s="42">
        <v>2.84</v>
      </c>
      <c r="E37" s="42">
        <v>2.31</v>
      </c>
      <c r="F37" s="42">
        <v>2.83</v>
      </c>
      <c r="G37" s="42">
        <v>2.31</v>
      </c>
      <c r="H37" s="42">
        <v>2.82</v>
      </c>
      <c r="I37" s="42">
        <v>2.31</v>
      </c>
      <c r="J37" s="42">
        <f t="shared" si="15"/>
        <v>2.83</v>
      </c>
      <c r="K37" s="42">
        <f t="shared" si="16"/>
        <v>2.31</v>
      </c>
      <c r="L37" s="72">
        <f t="shared" si="17"/>
        <v>0.30599564267050156</v>
      </c>
      <c r="M37" s="72"/>
      <c r="N37" s="42">
        <f t="shared" si="18"/>
        <v>0</v>
      </c>
      <c r="O37" s="73">
        <f t="shared" si="19"/>
        <v>14.633174155673441</v>
      </c>
      <c r="P37" s="72"/>
      <c r="Q37" s="42">
        <f t="shared" si="20"/>
        <v>14.530305060426134</v>
      </c>
      <c r="R37" s="42">
        <f t="shared" si="21"/>
        <v>6.4123550307245836</v>
      </c>
      <c r="S37" s="42">
        <f t="shared" si="22"/>
        <v>11.858611415608053</v>
      </c>
      <c r="T37" s="42">
        <f t="shared" si="23"/>
        <v>1.1480762698014126E-3</v>
      </c>
      <c r="U37" s="42">
        <f t="shared" si="24"/>
        <v>1.1562042180212355E-3</v>
      </c>
      <c r="V37" s="42">
        <f t="shared" si="25"/>
        <v>2.6199422707419294E-3</v>
      </c>
      <c r="W37" s="42">
        <f t="shared" si="26"/>
        <v>1.6414075861881927E-3</v>
      </c>
      <c r="X37" s="42">
        <f t="shared" si="27"/>
        <v>1.4166920064425247E-3</v>
      </c>
      <c r="Y37" s="42">
        <f t="shared" si="28"/>
        <v>1416.6920064425246</v>
      </c>
      <c r="Z37" s="41">
        <f t="shared" si="29"/>
        <v>33.117884355980202</v>
      </c>
    </row>
    <row r="38" spans="1:26" x14ac:dyDescent="0.25">
      <c r="A38" s="43" t="s">
        <v>156</v>
      </c>
      <c r="B38" s="43" t="s">
        <v>220</v>
      </c>
      <c r="C38" s="42">
        <v>1.6299999999999999E-2</v>
      </c>
      <c r="D38" s="42">
        <v>2.82</v>
      </c>
      <c r="E38" s="42">
        <v>2.3199999999999998</v>
      </c>
      <c r="F38" s="42">
        <v>2.85</v>
      </c>
      <c r="G38" s="42">
        <v>2.3199999999999998</v>
      </c>
      <c r="H38" s="42">
        <v>2.84</v>
      </c>
      <c r="I38" s="42">
        <v>2.3199999999999998</v>
      </c>
      <c r="J38" s="42">
        <f t="shared" si="15"/>
        <v>2.8366666666666664</v>
      </c>
      <c r="K38" s="42">
        <f t="shared" si="16"/>
        <v>2.3199999999999998</v>
      </c>
      <c r="L38" s="72">
        <f t="shared" si="17"/>
        <v>0.28867513459481292</v>
      </c>
      <c r="M38" s="72"/>
      <c r="N38" s="42">
        <f t="shared" si="18"/>
        <v>0</v>
      </c>
      <c r="O38" s="73">
        <f t="shared" si="19"/>
        <v>14.490256822676331</v>
      </c>
      <c r="P38" s="72"/>
      <c r="Q38" s="42">
        <f t="shared" si="20"/>
        <v>14.800200070694196</v>
      </c>
      <c r="R38" s="42">
        <f t="shared" si="21"/>
        <v>6.5317872133068544</v>
      </c>
      <c r="S38" s="42">
        <f t="shared" si="22"/>
        <v>11.940748035559126</v>
      </c>
      <c r="T38" s="42">
        <f t="shared" si="23"/>
        <v>1.1248937958429788E-3</v>
      </c>
      <c r="U38" s="42">
        <f t="shared" si="24"/>
        <v>1.1013364631654913E-3</v>
      </c>
      <c r="V38" s="42">
        <f t="shared" si="25"/>
        <v>2.4954885190982485E-3</v>
      </c>
      <c r="W38" s="42">
        <f t="shared" si="26"/>
        <v>1.5739062593689063E-3</v>
      </c>
      <c r="X38" s="42">
        <f t="shared" si="27"/>
        <v>1.3650736077387424E-3</v>
      </c>
      <c r="Y38" s="42">
        <f t="shared" si="28"/>
        <v>1365.0736077387423</v>
      </c>
      <c r="Z38" s="41">
        <f t="shared" si="29"/>
        <v>33.314722589020121</v>
      </c>
    </row>
    <row r="39" spans="1:26" x14ac:dyDescent="0.25">
      <c r="A39" s="43" t="s">
        <v>156</v>
      </c>
      <c r="B39" s="43" t="s">
        <v>219</v>
      </c>
      <c r="C39" s="42">
        <v>2.06E-2</v>
      </c>
      <c r="D39" s="42">
        <v>2.82</v>
      </c>
      <c r="E39" s="42">
        <v>2.94</v>
      </c>
      <c r="F39" s="42">
        <v>2.8</v>
      </c>
      <c r="G39" s="42">
        <v>2.94</v>
      </c>
      <c r="H39" s="42">
        <v>2.81</v>
      </c>
      <c r="I39" s="42">
        <v>2.9</v>
      </c>
      <c r="J39" s="42">
        <f t="shared" si="15"/>
        <v>2.81</v>
      </c>
      <c r="K39" s="42">
        <f t="shared" si="16"/>
        <v>2.9266666666666663</v>
      </c>
      <c r="L39" s="72">
        <f t="shared" si="17"/>
        <v>6.1101009266077921E-2</v>
      </c>
      <c r="M39" s="72"/>
      <c r="N39" s="42">
        <f t="shared" si="18"/>
        <v>2.3094010767585053E-2</v>
      </c>
      <c r="O39" s="73">
        <f t="shared" si="19"/>
        <v>18.362653042529487</v>
      </c>
      <c r="P39" s="72"/>
      <c r="Q39" s="42">
        <f t="shared" si="20"/>
        <v>18.103113507045819</v>
      </c>
      <c r="R39" s="42">
        <f t="shared" si="21"/>
        <v>7.9931506978700062</v>
      </c>
      <c r="S39" s="42">
        <f t="shared" si="22"/>
        <v>14.819639082481771</v>
      </c>
      <c r="T39" s="42">
        <f t="shared" si="23"/>
        <v>1.1218422497167825E-3</v>
      </c>
      <c r="U39" s="42">
        <f t="shared" si="24"/>
        <v>1.1379258044193548E-3</v>
      </c>
      <c r="V39" s="42">
        <f t="shared" si="25"/>
        <v>2.5772065082533017E-3</v>
      </c>
      <c r="W39" s="42">
        <f t="shared" si="26"/>
        <v>1.6123248541298129E-3</v>
      </c>
      <c r="X39" s="42">
        <f t="shared" si="27"/>
        <v>1.3900473476679447E-3</v>
      </c>
      <c r="Y39" s="42">
        <f t="shared" si="28"/>
        <v>1390.0473476679447</v>
      </c>
      <c r="Z39" s="41">
        <f t="shared" si="29"/>
        <v>38.239413419617399</v>
      </c>
    </row>
    <row r="40" spans="1:26" x14ac:dyDescent="0.25">
      <c r="A40" s="43" t="s">
        <v>156</v>
      </c>
      <c r="B40" s="43" t="s">
        <v>218</v>
      </c>
      <c r="C40" s="42">
        <v>1.44E-2</v>
      </c>
      <c r="D40" s="42">
        <v>3.82</v>
      </c>
      <c r="E40" s="42">
        <v>0.99</v>
      </c>
      <c r="F40" s="42">
        <v>3.78</v>
      </c>
      <c r="G40" s="42">
        <v>0.99</v>
      </c>
      <c r="H40" s="42">
        <v>3.82</v>
      </c>
      <c r="I40" s="42">
        <v>0.99</v>
      </c>
      <c r="J40" s="42">
        <f t="shared" si="15"/>
        <v>3.8066666666666666</v>
      </c>
      <c r="K40" s="42">
        <f t="shared" si="16"/>
        <v>0.98999999999999988</v>
      </c>
      <c r="L40" s="72">
        <f t="shared" si="17"/>
        <v>1.6339012618066406</v>
      </c>
      <c r="M40" s="72"/>
      <c r="N40" s="42">
        <f t="shared" si="18"/>
        <v>1.3597399555105182E-16</v>
      </c>
      <c r="O40" s="73">
        <f t="shared" si="19"/>
        <v>11.346235717965316</v>
      </c>
      <c r="P40" s="72"/>
      <c r="Q40" s="42">
        <f t="shared" si="20"/>
        <v>11.109862286709218</v>
      </c>
      <c r="R40" s="42">
        <f t="shared" si="21"/>
        <v>5.0427714302068054</v>
      </c>
      <c r="S40" s="42">
        <f t="shared" si="22"/>
        <v>9.166289811627113</v>
      </c>
      <c r="T40" s="42">
        <f t="shared" si="23"/>
        <v>1.2691433844618121E-3</v>
      </c>
      <c r="U40" s="42">
        <f t="shared" si="24"/>
        <v>1.2961456792517391E-3</v>
      </c>
      <c r="V40" s="42">
        <f t="shared" si="25"/>
        <v>2.8555726150390781E-3</v>
      </c>
      <c r="W40" s="42">
        <f t="shared" si="26"/>
        <v>1.8069538929175431E-3</v>
      </c>
      <c r="X40" s="42">
        <f t="shared" si="27"/>
        <v>1.5709736759287397E-3</v>
      </c>
      <c r="Y40" s="42">
        <f t="shared" si="28"/>
        <v>1570.9736759287396</v>
      </c>
      <c r="Z40" s="41">
        <f t="shared" si="29"/>
        <v>34.601361860297821</v>
      </c>
    </row>
    <row r="41" spans="1:26" x14ac:dyDescent="0.25">
      <c r="A41" s="43" t="s">
        <v>156</v>
      </c>
      <c r="B41" s="43" t="s">
        <v>217</v>
      </c>
      <c r="C41" s="42">
        <v>2.07E-2</v>
      </c>
      <c r="D41" s="42">
        <v>2.82</v>
      </c>
      <c r="E41" s="42">
        <v>2.89</v>
      </c>
      <c r="F41" s="42">
        <v>2.84</v>
      </c>
      <c r="G41" s="42">
        <v>2.9</v>
      </c>
      <c r="H41" s="42">
        <v>2.8</v>
      </c>
      <c r="I41" s="42">
        <v>2.89</v>
      </c>
      <c r="J41" s="42">
        <f t="shared" si="15"/>
        <v>2.8200000000000003</v>
      </c>
      <c r="K41" s="42">
        <f t="shared" si="16"/>
        <v>2.8933333333333331</v>
      </c>
      <c r="L41" s="72">
        <f t="shared" si="17"/>
        <v>4.3588989435406823E-2</v>
      </c>
      <c r="M41" s="72"/>
      <c r="N41" s="42">
        <f t="shared" si="18"/>
        <v>5.7735026918961348E-3</v>
      </c>
      <c r="O41" s="73">
        <f t="shared" si="19"/>
        <v>18.050363024799395</v>
      </c>
      <c r="P41" s="72"/>
      <c r="Q41" s="42">
        <f t="shared" si="20"/>
        <v>18.37065153742553</v>
      </c>
      <c r="R41" s="42">
        <f t="shared" si="21"/>
        <v>7.9089944119973428</v>
      </c>
      <c r="S41" s="42">
        <f t="shared" si="22"/>
        <v>14.776669658074089</v>
      </c>
      <c r="T41" s="42">
        <f t="shared" si="23"/>
        <v>1.1467913399614328E-3</v>
      </c>
      <c r="U41" s="42">
        <f t="shared" si="24"/>
        <v>1.1267972699731969E-3</v>
      </c>
      <c r="V41" s="42">
        <f t="shared" si="25"/>
        <v>2.6172733120913166E-3</v>
      </c>
      <c r="W41" s="42">
        <f t="shared" si="26"/>
        <v>1.6302873073419822E-3</v>
      </c>
      <c r="X41" s="42">
        <f t="shared" si="27"/>
        <v>1.4008569237175411E-3</v>
      </c>
      <c r="Y41" s="42">
        <f t="shared" si="28"/>
        <v>1400.8569237175411</v>
      </c>
      <c r="Z41" s="41">
        <f t="shared" si="29"/>
        <v>38.124483488373578</v>
      </c>
    </row>
    <row r="42" spans="1:26" x14ac:dyDescent="0.25">
      <c r="A42" s="43" t="s">
        <v>156</v>
      </c>
      <c r="B42" s="43" t="s">
        <v>216</v>
      </c>
      <c r="C42" s="42">
        <v>2.3300000000000001E-2</v>
      </c>
      <c r="D42" s="42">
        <v>4.7699999999999996</v>
      </c>
      <c r="E42" s="42">
        <v>0.99</v>
      </c>
      <c r="F42" s="42">
        <v>4.8</v>
      </c>
      <c r="G42" s="42">
        <v>1</v>
      </c>
      <c r="H42" s="42">
        <v>4.8</v>
      </c>
      <c r="I42" s="42">
        <v>1</v>
      </c>
      <c r="J42" s="42">
        <f t="shared" si="15"/>
        <v>4.79</v>
      </c>
      <c r="K42" s="42">
        <f t="shared" si="16"/>
        <v>0.9966666666666667</v>
      </c>
      <c r="L42" s="72">
        <f t="shared" si="17"/>
        <v>2.1766105148448891</v>
      </c>
      <c r="M42" s="72"/>
      <c r="N42" s="42">
        <f t="shared" si="18"/>
        <v>5.7735026918962623E-3</v>
      </c>
      <c r="O42" s="73">
        <f t="shared" si="19"/>
        <v>17.691385013246141</v>
      </c>
      <c r="P42" s="72"/>
      <c r="Q42" s="42">
        <f t="shared" si="20"/>
        <v>18.095573684677209</v>
      </c>
      <c r="R42" s="42">
        <f t="shared" si="21"/>
        <v>8.0424771931898693</v>
      </c>
      <c r="S42" s="42">
        <f t="shared" si="22"/>
        <v>14.609811963704407</v>
      </c>
      <c r="T42" s="42">
        <f t="shared" si="23"/>
        <v>1.3170252064806968E-3</v>
      </c>
      <c r="U42" s="42">
        <f t="shared" si="24"/>
        <v>1.2876076993198478E-3</v>
      </c>
      <c r="V42" s="42">
        <f t="shared" si="25"/>
        <v>2.897117323469658E-3</v>
      </c>
      <c r="W42" s="42">
        <f t="shared" si="26"/>
        <v>1.8339167430900677E-3</v>
      </c>
      <c r="X42" s="42">
        <f t="shared" si="27"/>
        <v>1.5948186094307639E-3</v>
      </c>
      <c r="Y42" s="42">
        <f t="shared" si="28"/>
        <v>1594.8186094307639</v>
      </c>
      <c r="Z42" s="41">
        <f t="shared" si="29"/>
        <v>51.038576049607578</v>
      </c>
    </row>
    <row r="43" spans="1:26" x14ac:dyDescent="0.25">
      <c r="A43" s="43" t="s">
        <v>156</v>
      </c>
      <c r="B43" s="43" t="s">
        <v>215</v>
      </c>
      <c r="C43" s="42">
        <v>8.5000000000000006E-3</v>
      </c>
      <c r="D43" s="42">
        <v>1.8</v>
      </c>
      <c r="E43" s="42">
        <v>2.9</v>
      </c>
      <c r="F43" s="42">
        <v>1.82</v>
      </c>
      <c r="G43" s="42">
        <v>2.88</v>
      </c>
      <c r="H43" s="42">
        <v>1.83</v>
      </c>
      <c r="I43" s="42">
        <v>2.88</v>
      </c>
      <c r="J43" s="42">
        <f t="shared" si="15"/>
        <v>1.8166666666666667</v>
      </c>
      <c r="K43" s="42">
        <f t="shared" si="16"/>
        <v>2.8866666666666667</v>
      </c>
      <c r="L43" s="72">
        <f t="shared" si="17"/>
        <v>0.62353829072479705</v>
      </c>
      <c r="M43" s="72"/>
      <c r="N43" s="42">
        <f t="shared" si="18"/>
        <v>1.1547005383792526E-2</v>
      </c>
      <c r="O43" s="73">
        <f t="shared" si="19"/>
        <v>7.3796011432824242</v>
      </c>
      <c r="P43" s="72"/>
      <c r="Q43" s="42">
        <f t="shared" si="20"/>
        <v>7.4924722841405993</v>
      </c>
      <c r="R43" s="42">
        <f t="shared" si="21"/>
        <v>3.3666814840341943</v>
      </c>
      <c r="S43" s="42">
        <f t="shared" si="22"/>
        <v>6.0795849704857394</v>
      </c>
      <c r="T43" s="42">
        <f t="shared" si="23"/>
        <v>1.151823768651435E-3</v>
      </c>
      <c r="U43" s="42">
        <f t="shared" si="24"/>
        <v>1.134471997713231E-3</v>
      </c>
      <c r="V43" s="42">
        <f t="shared" si="25"/>
        <v>2.5247413633601905E-3</v>
      </c>
      <c r="W43" s="42">
        <f t="shared" si="26"/>
        <v>1.6036790432416188E-3</v>
      </c>
      <c r="X43" s="42">
        <f t="shared" si="27"/>
        <v>1.3981217535842547E-3</v>
      </c>
      <c r="Y43" s="42">
        <f t="shared" si="28"/>
        <v>1398.1217535842547</v>
      </c>
      <c r="Z43" s="41">
        <f t="shared" si="29"/>
        <v>21.658925152011431</v>
      </c>
    </row>
    <row r="44" spans="1:26" x14ac:dyDescent="0.25">
      <c r="A44" s="43" t="s">
        <v>156</v>
      </c>
      <c r="B44" s="43" t="s">
        <v>214</v>
      </c>
      <c r="C44" s="42">
        <v>1.46E-2</v>
      </c>
      <c r="D44" s="42">
        <v>3.83</v>
      </c>
      <c r="E44" s="42">
        <v>0.98</v>
      </c>
      <c r="F44" s="42">
        <v>3.8</v>
      </c>
      <c r="G44" s="42">
        <v>1.02</v>
      </c>
      <c r="H44" s="42">
        <v>3.82</v>
      </c>
      <c r="I44" s="42">
        <v>0.98</v>
      </c>
      <c r="J44" s="42">
        <f t="shared" si="15"/>
        <v>3.8166666666666664</v>
      </c>
      <c r="K44" s="42">
        <f t="shared" si="16"/>
        <v>0.99333333333333329</v>
      </c>
      <c r="L44" s="72">
        <f t="shared" si="17"/>
        <v>1.6340236636393406</v>
      </c>
      <c r="M44" s="72"/>
      <c r="N44" s="42">
        <f t="shared" si="18"/>
        <v>2.3094010767585053E-2</v>
      </c>
      <c r="O44" s="73">
        <f t="shared" si="19"/>
        <v>11.290508576679612</v>
      </c>
      <c r="P44" s="72"/>
      <c r="Q44" s="42">
        <f t="shared" si="20"/>
        <v>11.567972469048335</v>
      </c>
      <c r="R44" s="42">
        <f t="shared" si="21"/>
        <v>4.9918343450532019</v>
      </c>
      <c r="S44" s="42">
        <f t="shared" si="22"/>
        <v>9.2834384635937166</v>
      </c>
      <c r="T44" s="42">
        <f t="shared" si="23"/>
        <v>1.2931215543430963E-3</v>
      </c>
      <c r="U44" s="42">
        <f t="shared" si="24"/>
        <v>1.2621053550277944E-3</v>
      </c>
      <c r="V44" s="42">
        <f t="shared" si="25"/>
        <v>2.9247765432096678E-3</v>
      </c>
      <c r="W44" s="42">
        <f t="shared" si="26"/>
        <v>1.826667817526853E-3</v>
      </c>
      <c r="X44" s="42">
        <f t="shared" si="27"/>
        <v>1.5726931413673837E-3</v>
      </c>
      <c r="Y44" s="42">
        <f t="shared" si="28"/>
        <v>1572.6931413673838</v>
      </c>
      <c r="Z44" s="41">
        <f t="shared" si="29"/>
        <v>34.792178707418351</v>
      </c>
    </row>
    <row r="45" spans="1:26" x14ac:dyDescent="0.25">
      <c r="A45" s="43" t="s">
        <v>156</v>
      </c>
      <c r="B45" s="43" t="s">
        <v>213</v>
      </c>
      <c r="C45" s="42">
        <v>3.0000000000000001E-3</v>
      </c>
      <c r="D45" s="42">
        <v>1.77</v>
      </c>
      <c r="E45" s="42">
        <v>1.01</v>
      </c>
      <c r="F45" s="42">
        <v>1.78</v>
      </c>
      <c r="G45" s="42">
        <v>1</v>
      </c>
      <c r="H45" s="42">
        <v>1.77</v>
      </c>
      <c r="I45" s="42">
        <v>1</v>
      </c>
      <c r="J45" s="42">
        <f t="shared" si="15"/>
        <v>1.7733333333333334</v>
      </c>
      <c r="K45" s="42">
        <f t="shared" si="16"/>
        <v>1.0033333333333332</v>
      </c>
      <c r="L45" s="72">
        <f t="shared" si="17"/>
        <v>0.44455970727601207</v>
      </c>
      <c r="M45" s="72"/>
      <c r="N45" s="42">
        <f t="shared" si="18"/>
        <v>5.7735026918962632E-3</v>
      </c>
      <c r="O45" s="73">
        <f t="shared" si="19"/>
        <v>2.4851796451689445</v>
      </c>
      <c r="P45" s="72"/>
      <c r="Q45" s="42">
        <f t="shared" si="20"/>
        <v>2.4884555409084754</v>
      </c>
      <c r="R45" s="42">
        <f t="shared" si="21"/>
        <v>1.0935884027146068</v>
      </c>
      <c r="S45" s="42">
        <f t="shared" si="22"/>
        <v>2.0224078629306756</v>
      </c>
      <c r="T45" s="42">
        <f t="shared" si="23"/>
        <v>1.2071561932481777E-3</v>
      </c>
      <c r="U45" s="42">
        <f t="shared" si="24"/>
        <v>1.2055670477861026E-3</v>
      </c>
      <c r="V45" s="42">
        <f t="shared" si="25"/>
        <v>2.7432624491564844E-3</v>
      </c>
      <c r="W45" s="42">
        <f t="shared" si="26"/>
        <v>1.718661896730255E-3</v>
      </c>
      <c r="X45" s="42">
        <f t="shared" si="27"/>
        <v>1.4833803086844676E-3</v>
      </c>
      <c r="Y45" s="42">
        <f t="shared" si="28"/>
        <v>1483.3803086844675</v>
      </c>
      <c r="Z45" s="41">
        <f t="shared" si="29"/>
        <v>10.529361937771549</v>
      </c>
    </row>
    <row r="46" spans="1:26" x14ac:dyDescent="0.25">
      <c r="A46" s="43" t="s">
        <v>156</v>
      </c>
      <c r="B46" s="43" t="s">
        <v>212</v>
      </c>
      <c r="C46" s="42">
        <v>3.0999999999999999E-3</v>
      </c>
      <c r="D46" s="42">
        <v>1.78</v>
      </c>
      <c r="E46" s="42">
        <v>0.98</v>
      </c>
      <c r="F46" s="42">
        <v>1.77</v>
      </c>
      <c r="G46" s="42">
        <v>0.99</v>
      </c>
      <c r="H46" s="42">
        <v>1.77</v>
      </c>
      <c r="I46" s="42">
        <v>0.98</v>
      </c>
      <c r="J46" s="42">
        <f t="shared" si="15"/>
        <v>1.7733333333333334</v>
      </c>
      <c r="K46" s="42">
        <f t="shared" si="16"/>
        <v>0.98333333333333339</v>
      </c>
      <c r="L46" s="72">
        <f t="shared" si="17"/>
        <v>0.45902069670114015</v>
      </c>
      <c r="M46" s="72"/>
      <c r="N46" s="42">
        <f t="shared" si="18"/>
        <v>5.7735026918962632E-3</v>
      </c>
      <c r="O46" s="73">
        <f t="shared" si="19"/>
        <v>2.4386864300903057</v>
      </c>
      <c r="P46" s="72"/>
      <c r="Q46" s="42">
        <f t="shared" si="20"/>
        <v>2.435968167046787</v>
      </c>
      <c r="R46" s="42">
        <f t="shared" si="21"/>
        <v>1.0717166346603146</v>
      </c>
      <c r="S46" s="42">
        <f t="shared" si="22"/>
        <v>1.9821237439324693</v>
      </c>
      <c r="T46" s="42">
        <f t="shared" si="23"/>
        <v>1.2711761388220812E-3</v>
      </c>
      <c r="U46" s="42">
        <f t="shared" si="24"/>
        <v>1.2725946266195435E-3</v>
      </c>
      <c r="V46" s="42">
        <f t="shared" si="25"/>
        <v>2.8925556436684018E-3</v>
      </c>
      <c r="W46" s="42">
        <f t="shared" si="26"/>
        <v>1.8121088030366758E-3</v>
      </c>
      <c r="X46" s="42">
        <f t="shared" si="27"/>
        <v>1.563979044945852E-3</v>
      </c>
      <c r="Y46" s="42">
        <f t="shared" si="28"/>
        <v>1563.9790449458519</v>
      </c>
      <c r="Z46" s="41">
        <f t="shared" si="29"/>
        <v>10.417940118324234</v>
      </c>
    </row>
    <row r="47" spans="1:26" x14ac:dyDescent="0.25">
      <c r="A47" s="43" t="s">
        <v>156</v>
      </c>
      <c r="B47" s="43" t="s">
        <v>211</v>
      </c>
      <c r="C47" s="42">
        <v>2.3199999999999998E-2</v>
      </c>
      <c r="D47" s="42">
        <v>4.7699999999999996</v>
      </c>
      <c r="E47" s="42">
        <v>1.02</v>
      </c>
      <c r="F47" s="42">
        <v>4.7699999999999996</v>
      </c>
      <c r="G47" s="42">
        <v>1.01</v>
      </c>
      <c r="H47" s="42">
        <v>4.79</v>
      </c>
      <c r="I47" s="42">
        <v>1.01</v>
      </c>
      <c r="J47" s="42">
        <f t="shared" si="15"/>
        <v>4.7766666666666664</v>
      </c>
      <c r="K47" s="42">
        <f t="shared" si="16"/>
        <v>1.0133333333333334</v>
      </c>
      <c r="L47" s="72">
        <f t="shared" si="17"/>
        <v>2.170837012152993</v>
      </c>
      <c r="M47" s="72"/>
      <c r="N47" s="42">
        <f t="shared" si="18"/>
        <v>5.7735026918962632E-3</v>
      </c>
      <c r="O47" s="73">
        <f t="shared" si="19"/>
        <v>18.227487589405115</v>
      </c>
      <c r="P47" s="72"/>
      <c r="Q47" s="42">
        <f t="shared" si="20"/>
        <v>18.048786730685457</v>
      </c>
      <c r="R47" s="42">
        <f t="shared" si="21"/>
        <v>8.0890917959179856</v>
      </c>
      <c r="S47" s="42">
        <f t="shared" si="22"/>
        <v>14.788455372002852</v>
      </c>
      <c r="T47" s="42">
        <f t="shared" si="23"/>
        <v>1.2728029513779616E-3</v>
      </c>
      <c r="U47" s="42">
        <f t="shared" si="24"/>
        <v>1.2854049607975454E-3</v>
      </c>
      <c r="V47" s="42">
        <f t="shared" si="25"/>
        <v>2.8680599238232727E-3</v>
      </c>
      <c r="W47" s="42">
        <f t="shared" si="26"/>
        <v>1.8087559453329263E-3</v>
      </c>
      <c r="X47" s="42">
        <f t="shared" si="27"/>
        <v>1.5687912913421424E-3</v>
      </c>
      <c r="Y47" s="42">
        <f t="shared" si="28"/>
        <v>1568.7912913421424</v>
      </c>
      <c r="Z47" s="41">
        <f t="shared" si="29"/>
        <v>51.046569657581706</v>
      </c>
    </row>
    <row r="48" spans="1:26" x14ac:dyDescent="0.25">
      <c r="A48" s="43" t="s">
        <v>156</v>
      </c>
      <c r="B48" s="43" t="s">
        <v>210</v>
      </c>
      <c r="C48" s="42">
        <v>8.8000000000000005E-3</v>
      </c>
      <c r="D48" s="42">
        <v>1.76</v>
      </c>
      <c r="E48" s="42">
        <v>2.88</v>
      </c>
      <c r="F48" s="42">
        <v>1.78</v>
      </c>
      <c r="G48" s="42">
        <v>2.88</v>
      </c>
      <c r="H48" s="42">
        <v>1.79</v>
      </c>
      <c r="I48" s="42">
        <v>2.87</v>
      </c>
      <c r="J48" s="42">
        <f t="shared" si="15"/>
        <v>1.7766666666666666</v>
      </c>
      <c r="K48" s="42">
        <f t="shared" si="16"/>
        <v>2.8766666666666665</v>
      </c>
      <c r="L48" s="72">
        <f t="shared" si="17"/>
        <v>0.64376496746354173</v>
      </c>
      <c r="M48" s="72"/>
      <c r="N48" s="42">
        <f t="shared" si="18"/>
        <v>5.7735026918961348E-3</v>
      </c>
      <c r="O48" s="73">
        <f t="shared" si="19"/>
        <v>7.0066061307070147</v>
      </c>
      <c r="P48" s="72"/>
      <c r="Q48" s="42">
        <f t="shared" si="20"/>
        <v>7.1667519578164089</v>
      </c>
      <c r="R48" s="42">
        <f t="shared" si="21"/>
        <v>3.209928227924828</v>
      </c>
      <c r="S48" s="42">
        <f t="shared" si="22"/>
        <v>5.7944287721494172</v>
      </c>
      <c r="T48" s="42">
        <f t="shared" si="23"/>
        <v>1.2559575685913459E-3</v>
      </c>
      <c r="U48" s="42">
        <f t="shared" si="24"/>
        <v>1.2278923634858455E-3</v>
      </c>
      <c r="V48" s="42">
        <f t="shared" si="25"/>
        <v>2.7414943186094454E-3</v>
      </c>
      <c r="W48" s="42">
        <f t="shared" si="26"/>
        <v>1.7417814168955454E-3</v>
      </c>
      <c r="X48" s="42">
        <f t="shared" si="27"/>
        <v>1.5187001766760317E-3</v>
      </c>
      <c r="Y48" s="42">
        <f t="shared" si="28"/>
        <v>1518.7001766760316</v>
      </c>
      <c r="Z48" s="41">
        <f t="shared" si="29"/>
        <v>21.014584498760165</v>
      </c>
    </row>
    <row r="49" spans="1:26" x14ac:dyDescent="0.25">
      <c r="A49" s="43" t="s">
        <v>156</v>
      </c>
      <c r="B49" s="43" t="s">
        <v>209</v>
      </c>
      <c r="C49" s="42">
        <v>1.4E-3</v>
      </c>
      <c r="D49" s="42">
        <v>0.78</v>
      </c>
      <c r="E49" s="42">
        <v>2.89</v>
      </c>
      <c r="F49" s="42">
        <v>0.75</v>
      </c>
      <c r="G49" s="42">
        <v>2.9</v>
      </c>
      <c r="H49" s="42">
        <v>0.74</v>
      </c>
      <c r="I49" s="42">
        <v>2.89</v>
      </c>
      <c r="J49" s="42">
        <f t="shared" si="15"/>
        <v>0.75666666666666671</v>
      </c>
      <c r="K49" s="42">
        <f t="shared" si="16"/>
        <v>2.8933333333333331</v>
      </c>
      <c r="L49" s="72">
        <f t="shared" si="17"/>
        <v>1.2211060560000508</v>
      </c>
      <c r="M49" s="72"/>
      <c r="N49" s="42">
        <f t="shared" si="18"/>
        <v>5.7735026918961348E-3</v>
      </c>
      <c r="O49" s="73">
        <f t="shared" si="19"/>
        <v>1.3809467411458121</v>
      </c>
      <c r="P49" s="72"/>
      <c r="Q49" s="42">
        <f t="shared" si="20"/>
        <v>1.2811807540420874</v>
      </c>
      <c r="R49" s="42">
        <f t="shared" si="21"/>
        <v>0.55241904847063084</v>
      </c>
      <c r="S49" s="42">
        <f t="shared" si="22"/>
        <v>1.0715155145528434</v>
      </c>
      <c r="T49" s="42">
        <f t="shared" si="23"/>
        <v>1.0137972437940501E-3</v>
      </c>
      <c r="U49" s="42">
        <f t="shared" si="24"/>
        <v>1.0927419847535497E-3</v>
      </c>
      <c r="V49" s="42">
        <f t="shared" si="25"/>
        <v>2.5343079748533157E-3</v>
      </c>
      <c r="W49" s="42">
        <f t="shared" si="26"/>
        <v>1.5469490678003052E-3</v>
      </c>
      <c r="X49" s="42">
        <f t="shared" si="27"/>
        <v>1.3065606432999127E-3</v>
      </c>
      <c r="Y49" s="42">
        <f t="shared" si="28"/>
        <v>1306.5606432999127</v>
      </c>
      <c r="Z49" s="41">
        <f t="shared" si="29"/>
        <v>7.7772046001792523</v>
      </c>
    </row>
    <row r="50" spans="1:26" x14ac:dyDescent="0.25">
      <c r="A50" s="43" t="s">
        <v>156</v>
      </c>
      <c r="B50" s="43" t="s">
        <v>208</v>
      </c>
      <c r="C50" s="42">
        <v>4.9000000000000002E-2</v>
      </c>
      <c r="D50" s="42">
        <v>4.82</v>
      </c>
      <c r="E50" s="42">
        <v>2.2999999999999998</v>
      </c>
      <c r="F50" s="42">
        <v>4.7699999999999996</v>
      </c>
      <c r="G50" s="42">
        <v>2.2999999999999998</v>
      </c>
      <c r="H50" s="42">
        <v>4.8099999999999996</v>
      </c>
      <c r="I50" s="42">
        <v>2.2999999999999998</v>
      </c>
      <c r="J50" s="42">
        <f t="shared" si="15"/>
        <v>4.8</v>
      </c>
      <c r="K50" s="42">
        <f t="shared" si="16"/>
        <v>2.2999999999999998</v>
      </c>
      <c r="L50" s="72">
        <f t="shared" si="17"/>
        <v>1.4549226783578562</v>
      </c>
      <c r="M50" s="72"/>
      <c r="N50" s="42">
        <f t="shared" si="18"/>
        <v>0</v>
      </c>
      <c r="O50" s="73">
        <f t="shared" si="19"/>
        <v>41.967373870024218</v>
      </c>
      <c r="P50" s="72"/>
      <c r="Q50" s="42">
        <f t="shared" si="20"/>
        <v>41.101197505521334</v>
      </c>
      <c r="R50" s="42">
        <f t="shared" si="21"/>
        <v>18.574851569250363</v>
      </c>
      <c r="S50" s="42">
        <f t="shared" si="22"/>
        <v>33.881140981598641</v>
      </c>
      <c r="T50" s="42">
        <f t="shared" si="23"/>
        <v>1.1675736526130108E-3</v>
      </c>
      <c r="U50" s="42">
        <f t="shared" si="24"/>
        <v>1.1921793761220116E-3</v>
      </c>
      <c r="V50" s="42">
        <f t="shared" si="25"/>
        <v>2.6379753193353527E-3</v>
      </c>
      <c r="W50" s="42">
        <f t="shared" si="26"/>
        <v>1.6659094493567915E-3</v>
      </c>
      <c r="X50" s="42">
        <f t="shared" si="27"/>
        <v>1.4462322867642692E-3</v>
      </c>
      <c r="Y50" s="42">
        <f t="shared" si="28"/>
        <v>1446.2322867642692</v>
      </c>
      <c r="Z50" s="41">
        <f t="shared" si="29"/>
        <v>70.874330264985716</v>
      </c>
    </row>
    <row r="51" spans="1:26" x14ac:dyDescent="0.25">
      <c r="A51" s="43" t="s">
        <v>156</v>
      </c>
      <c r="B51" s="43" t="s">
        <v>207</v>
      </c>
      <c r="C51" s="42">
        <v>3.0499999999999999E-2</v>
      </c>
      <c r="D51" s="42">
        <v>3.81</v>
      </c>
      <c r="E51" s="42">
        <v>2.29</v>
      </c>
      <c r="F51" s="42">
        <v>3.82</v>
      </c>
      <c r="G51" s="42">
        <v>2.29</v>
      </c>
      <c r="H51" s="42">
        <v>3.81</v>
      </c>
      <c r="I51" s="42">
        <v>2.29</v>
      </c>
      <c r="J51" s="42">
        <f t="shared" si="15"/>
        <v>3.813333333333333</v>
      </c>
      <c r="K51" s="42">
        <f t="shared" si="16"/>
        <v>2.29</v>
      </c>
      <c r="L51" s="72">
        <f t="shared" si="17"/>
        <v>0.87757240916823043</v>
      </c>
      <c r="M51" s="72"/>
      <c r="N51" s="42">
        <f t="shared" si="18"/>
        <v>0</v>
      </c>
      <c r="O51" s="73">
        <f t="shared" si="19"/>
        <v>26.108102860498569</v>
      </c>
      <c r="P51" s="72"/>
      <c r="Q51" s="42">
        <f t="shared" si="20"/>
        <v>26.245333125394517</v>
      </c>
      <c r="R51" s="42">
        <f t="shared" si="21"/>
        <v>11.603601271332698</v>
      </c>
      <c r="S51" s="42">
        <f t="shared" si="22"/>
        <v>21.319012419075261</v>
      </c>
      <c r="T51" s="42">
        <f t="shared" si="23"/>
        <v>1.1682196965045034E-3</v>
      </c>
      <c r="U51" s="42">
        <f t="shared" si="24"/>
        <v>1.1621113686870578E-3</v>
      </c>
      <c r="V51" s="42">
        <f t="shared" si="25"/>
        <v>2.6284943171351327E-3</v>
      </c>
      <c r="W51" s="42">
        <f t="shared" si="26"/>
        <v>1.652941794108898E-3</v>
      </c>
      <c r="X51" s="42">
        <f t="shared" si="27"/>
        <v>1.430647883703563E-3</v>
      </c>
      <c r="Y51" s="42">
        <f t="shared" si="28"/>
        <v>1430.6478837035629</v>
      </c>
      <c r="Z51" s="41">
        <f t="shared" si="29"/>
        <v>50.275814806608487</v>
      </c>
    </row>
    <row r="52" spans="1:26" x14ac:dyDescent="0.25">
      <c r="A52" s="43" t="s">
        <v>156</v>
      </c>
      <c r="B52" s="43" t="s">
        <v>206</v>
      </c>
      <c r="C52" s="42">
        <v>1.6500000000000001E-2</v>
      </c>
      <c r="D52" s="42">
        <v>2.8</v>
      </c>
      <c r="E52" s="42">
        <v>2.2999999999999998</v>
      </c>
      <c r="F52" s="42">
        <v>2.79</v>
      </c>
      <c r="G52" s="42">
        <v>2.2999999999999998</v>
      </c>
      <c r="H52" s="42">
        <v>2.8</v>
      </c>
      <c r="I52" s="42">
        <v>2.3199999999999998</v>
      </c>
      <c r="J52" s="42">
        <f t="shared" si="15"/>
        <v>2.7966666666666669</v>
      </c>
      <c r="K52" s="42">
        <f t="shared" si="16"/>
        <v>2.3066666666666666</v>
      </c>
      <c r="L52" s="72">
        <f t="shared" si="17"/>
        <v>0.28307831660749527</v>
      </c>
      <c r="M52" s="72"/>
      <c r="N52" s="42">
        <f t="shared" si="18"/>
        <v>1.1547005383792526E-2</v>
      </c>
      <c r="O52" s="73">
        <f t="shared" si="19"/>
        <v>14.162299682382784</v>
      </c>
      <c r="P52" s="72"/>
      <c r="Q52" s="42">
        <f t="shared" si="20"/>
        <v>14.061321040514777</v>
      </c>
      <c r="R52" s="42">
        <f t="shared" si="21"/>
        <v>6.34908893973489</v>
      </c>
      <c r="S52" s="42">
        <f t="shared" si="22"/>
        <v>11.524236554210816</v>
      </c>
      <c r="T52" s="42">
        <f t="shared" si="23"/>
        <v>1.1650650226336619E-3</v>
      </c>
      <c r="U52" s="42">
        <f t="shared" si="24"/>
        <v>1.1734317104672225E-3</v>
      </c>
      <c r="V52" s="42">
        <f t="shared" si="25"/>
        <v>2.5987980569522418E-3</v>
      </c>
      <c r="W52" s="42">
        <f t="shared" si="26"/>
        <v>1.6457649300177088E-3</v>
      </c>
      <c r="X52" s="42">
        <f t="shared" si="27"/>
        <v>1.4317651258183434E-3</v>
      </c>
      <c r="Y52" s="42">
        <f t="shared" si="28"/>
        <v>1431.7651258183434</v>
      </c>
      <c r="Z52" s="41">
        <f t="shared" si="29"/>
        <v>32.552083519068681</v>
      </c>
    </row>
  </sheetData>
  <mergeCells count="108">
    <mergeCell ref="O47:P47"/>
    <mergeCell ref="O48:P48"/>
    <mergeCell ref="O52:P52"/>
    <mergeCell ref="D1:E1"/>
    <mergeCell ref="L1:N1"/>
    <mergeCell ref="L2:M2"/>
    <mergeCell ref="O2:P2"/>
    <mergeCell ref="X1:Y1"/>
    <mergeCell ref="L8:M8"/>
    <mergeCell ref="L9:M9"/>
    <mergeCell ref="L10:M10"/>
    <mergeCell ref="O3:P3"/>
    <mergeCell ref="O49:P49"/>
    <mergeCell ref="O50:P50"/>
    <mergeCell ref="O51:P51"/>
    <mergeCell ref="L48:M48"/>
    <mergeCell ref="L46:M46"/>
    <mergeCell ref="L47:M47"/>
    <mergeCell ref="L49:M49"/>
    <mergeCell ref="L50:M50"/>
    <mergeCell ref="L51:M51"/>
    <mergeCell ref="L52:M52"/>
    <mergeCell ref="O43:P43"/>
    <mergeCell ref="O44:P44"/>
    <mergeCell ref="O45:P45"/>
    <mergeCell ref="O46:P46"/>
    <mergeCell ref="O10:P10"/>
    <mergeCell ref="L11:M11"/>
    <mergeCell ref="F1:G1"/>
    <mergeCell ref="H1:I1"/>
    <mergeCell ref="J1:K1"/>
    <mergeCell ref="L3:M3"/>
    <mergeCell ref="L4:M4"/>
    <mergeCell ref="L5:M5"/>
    <mergeCell ref="L6:M6"/>
    <mergeCell ref="L7:M7"/>
    <mergeCell ref="O4:P4"/>
    <mergeCell ref="O5:P5"/>
    <mergeCell ref="O6:P6"/>
    <mergeCell ref="O7:P7"/>
    <mergeCell ref="O8:P8"/>
    <mergeCell ref="O9:P9"/>
    <mergeCell ref="L30:M30"/>
    <mergeCell ref="L31:M31"/>
    <mergeCell ref="L32:M32"/>
    <mergeCell ref="L33:M33"/>
    <mergeCell ref="L34:M34"/>
    <mergeCell ref="L18:M18"/>
    <mergeCell ref="L19:M19"/>
    <mergeCell ref="L20:M20"/>
    <mergeCell ref="O18:P18"/>
    <mergeCell ref="L24:M24"/>
    <mergeCell ref="L25:M25"/>
    <mergeCell ref="L26:M26"/>
    <mergeCell ref="L27:M27"/>
    <mergeCell ref="L28:M28"/>
    <mergeCell ref="L23:M23"/>
    <mergeCell ref="L21:M21"/>
    <mergeCell ref="L22:M22"/>
    <mergeCell ref="O11:P11"/>
    <mergeCell ref="O19:P19"/>
    <mergeCell ref="O20:P20"/>
    <mergeCell ref="O21:P21"/>
    <mergeCell ref="O22:P22"/>
    <mergeCell ref="L29:M29"/>
    <mergeCell ref="L12:M12"/>
    <mergeCell ref="L13:M13"/>
    <mergeCell ref="L14:M14"/>
    <mergeCell ref="L15:M15"/>
    <mergeCell ref="L16:M16"/>
    <mergeCell ref="L17:M17"/>
    <mergeCell ref="O23:P23"/>
    <mergeCell ref="O12:P12"/>
    <mergeCell ref="O13:P13"/>
    <mergeCell ref="O14:P14"/>
    <mergeCell ref="O15:P15"/>
    <mergeCell ref="O16:P16"/>
    <mergeCell ref="O17:P17"/>
    <mergeCell ref="O35:P35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L45:M45"/>
    <mergeCell ref="O42:P42"/>
    <mergeCell ref="O36:P36"/>
    <mergeCell ref="O37:P37"/>
    <mergeCell ref="O38:P38"/>
    <mergeCell ref="O39:P39"/>
    <mergeCell ref="O40:P40"/>
    <mergeCell ref="O41:P41"/>
    <mergeCell ref="O33:P33"/>
    <mergeCell ref="O34:P34"/>
    <mergeCell ref="L35:M35"/>
    <mergeCell ref="L42:M42"/>
    <mergeCell ref="L36:M36"/>
    <mergeCell ref="L37:M37"/>
    <mergeCell ref="L38:M38"/>
    <mergeCell ref="L39:M39"/>
    <mergeCell ref="L40:M40"/>
    <mergeCell ref="L41:M41"/>
    <mergeCell ref="L43:M43"/>
    <mergeCell ref="L44:M44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F711-9FEB-45C3-87A3-F065A5DE2579}">
  <dimension ref="A1:AJ110"/>
  <sheetViews>
    <sheetView zoomScale="85" zoomScaleNormal="85" workbookViewId="0">
      <selection activeCell="AF8" sqref="AF8"/>
    </sheetView>
  </sheetViews>
  <sheetFormatPr defaultColWidth="11.5703125" defaultRowHeight="15" x14ac:dyDescent="0.25"/>
  <cols>
    <col min="1" max="1" width="11.5703125" style="21"/>
    <col min="2" max="2" width="21.5703125" style="21" customWidth="1"/>
    <col min="3" max="3" width="17.7109375" style="21" customWidth="1"/>
    <col min="4" max="12" width="0" style="21" hidden="1" customWidth="1"/>
    <col min="13" max="13" width="12.42578125" style="21" bestFit="1" customWidth="1"/>
    <col min="14" max="15" width="13.5703125" style="21" bestFit="1" customWidth="1"/>
    <col min="16" max="17" width="11.5703125" style="21"/>
    <col min="18" max="18" width="14" style="21" customWidth="1"/>
    <col min="19" max="19" width="26" style="21" hidden="1" customWidth="1"/>
    <col min="20" max="20" width="21.28515625" style="21" hidden="1" customWidth="1"/>
    <col min="21" max="21" width="20.5703125" style="21" hidden="1" customWidth="1"/>
    <col min="22" max="22" width="29.28515625" style="21" customWidth="1"/>
    <col min="23" max="24" width="25.28515625" style="21" hidden="1" customWidth="1"/>
    <col min="25" max="25" width="25.42578125" style="21" hidden="1" customWidth="1"/>
    <col min="26" max="26" width="31.85546875" style="21" hidden="1" customWidth="1"/>
    <col min="27" max="27" width="28.5703125" style="21" hidden="1" customWidth="1"/>
    <col min="28" max="28" width="24.85546875" style="21" customWidth="1"/>
    <col min="29" max="29" width="20.28515625" style="21" customWidth="1"/>
    <col min="30" max="30" width="25" bestFit="1" customWidth="1"/>
  </cols>
  <sheetData>
    <row r="1" spans="1:36" ht="18.75" x14ac:dyDescent="0.3">
      <c r="A1" s="22"/>
      <c r="B1" s="22"/>
      <c r="C1" s="22"/>
      <c r="D1" s="75" t="s">
        <v>0</v>
      </c>
      <c r="E1" s="75"/>
      <c r="F1" s="75"/>
      <c r="G1" s="75" t="s">
        <v>1</v>
      </c>
      <c r="H1" s="75"/>
      <c r="I1" s="75"/>
      <c r="J1" s="75" t="s">
        <v>2</v>
      </c>
      <c r="K1" s="75"/>
      <c r="L1" s="75"/>
      <c r="M1" s="75" t="s">
        <v>3</v>
      </c>
      <c r="N1" s="75"/>
      <c r="O1" s="75"/>
      <c r="P1" s="75" t="s">
        <v>4</v>
      </c>
      <c r="Q1" s="75"/>
      <c r="R1" s="75"/>
      <c r="S1" s="22"/>
      <c r="T1" s="22"/>
      <c r="U1" s="22"/>
      <c r="V1" s="22"/>
    </row>
    <row r="2" spans="1:36" ht="21" x14ac:dyDescent="0.35">
      <c r="A2" s="51" t="s">
        <v>6</v>
      </c>
      <c r="B2" s="51" t="s">
        <v>7</v>
      </c>
      <c r="C2" s="51" t="s">
        <v>8</v>
      </c>
      <c r="D2" s="51" t="s">
        <v>42</v>
      </c>
      <c r="E2" s="51" t="s">
        <v>43</v>
      </c>
      <c r="F2" s="51" t="s">
        <v>44</v>
      </c>
      <c r="G2" s="51" t="s">
        <v>42</v>
      </c>
      <c r="H2" s="51" t="s">
        <v>43</v>
      </c>
      <c r="I2" s="51" t="s">
        <v>44</v>
      </c>
      <c r="J2" s="51" t="s">
        <v>42</v>
      </c>
      <c r="K2" s="51" t="s">
        <v>43</v>
      </c>
      <c r="L2" s="51" t="s">
        <v>44</v>
      </c>
      <c r="M2" s="51" t="s">
        <v>42</v>
      </c>
      <c r="N2" s="51" t="s">
        <v>43</v>
      </c>
      <c r="O2" s="51" t="s">
        <v>44</v>
      </c>
      <c r="P2" s="51" t="s">
        <v>42</v>
      </c>
      <c r="Q2" s="51" t="s">
        <v>43</v>
      </c>
      <c r="R2" s="51" t="s">
        <v>44</v>
      </c>
      <c r="S2" s="51" t="s">
        <v>14</v>
      </c>
      <c r="T2" s="51" t="s">
        <v>15</v>
      </c>
      <c r="U2" s="51" t="s">
        <v>16</v>
      </c>
      <c r="V2" s="51" t="s">
        <v>17</v>
      </c>
      <c r="W2" s="51" t="s">
        <v>18</v>
      </c>
      <c r="X2" s="51" t="s">
        <v>19</v>
      </c>
      <c r="Y2" s="51" t="s">
        <v>20</v>
      </c>
      <c r="Z2" s="51" t="s">
        <v>21</v>
      </c>
      <c r="AA2" s="51" t="s">
        <v>17</v>
      </c>
      <c r="AB2" s="51" t="s">
        <v>22</v>
      </c>
      <c r="AC2" s="51" t="s">
        <v>23</v>
      </c>
      <c r="AD2" s="50" t="s">
        <v>154</v>
      </c>
      <c r="AE2" s="2"/>
      <c r="AF2" s="2"/>
      <c r="AG2" s="2"/>
      <c r="AH2" s="2"/>
      <c r="AI2" s="2"/>
      <c r="AJ2" s="2"/>
    </row>
    <row r="3" spans="1:36" ht="18.75" x14ac:dyDescent="0.3">
      <c r="A3" s="49" t="s">
        <v>156</v>
      </c>
      <c r="B3" s="49" t="s">
        <v>115</v>
      </c>
      <c r="C3" s="48">
        <v>1.7999999999999999E-2</v>
      </c>
      <c r="D3" s="48">
        <v>4.16</v>
      </c>
      <c r="E3" s="48">
        <v>1.63</v>
      </c>
      <c r="F3" s="48">
        <v>2.82</v>
      </c>
      <c r="G3" s="48">
        <v>4.13</v>
      </c>
      <c r="H3" s="48">
        <v>1.61</v>
      </c>
      <c r="I3" s="48">
        <v>2.83</v>
      </c>
      <c r="J3" s="48">
        <v>4.12</v>
      </c>
      <c r="K3" s="48">
        <v>1.6</v>
      </c>
      <c r="L3" s="48">
        <v>2.84</v>
      </c>
      <c r="M3" s="48">
        <f t="shared" ref="M3:M34" si="0">AVERAGE(D3,G3,J3)</f>
        <v>4.1366666666666667</v>
      </c>
      <c r="N3" s="48">
        <f t="shared" ref="N3:N34" si="1">AVERAGE(E3,H3,K3)</f>
        <v>1.6133333333333333</v>
      </c>
      <c r="O3" s="48">
        <f t="shared" ref="O3:O34" si="2">AVERAGE(F3,I3,L3)</f>
        <v>2.83</v>
      </c>
      <c r="P3" s="48">
        <f t="shared" ref="P3:P34" si="3">_xlfn.STDEV.S(D3,G3,J3)</f>
        <v>2.0816659994661382E-2</v>
      </c>
      <c r="Q3" s="48">
        <f t="shared" ref="Q3:Q34" si="4">_xlfn.STDEV.S(E3,H3,K3)</f>
        <v>1.5275252316519359E-2</v>
      </c>
      <c r="R3" s="48">
        <f t="shared" ref="R3:R34" si="5">_xlfn.STDEV.S(F3,I3,O3)</f>
        <v>5.7735026918963907E-3</v>
      </c>
      <c r="S3" s="48">
        <f t="shared" ref="S3:S34" si="6">1/2*D3*E3*F3</f>
        <v>9.5609280000000005</v>
      </c>
      <c r="T3" s="48">
        <f t="shared" ref="T3:T34" si="7">1/2*G3*H3*I3</f>
        <v>9.4087595000000004</v>
      </c>
      <c r="U3" s="48">
        <f t="shared" ref="U3:U34" si="8">1/2*J3*K3*L3</f>
        <v>9.3606400000000001</v>
      </c>
      <c r="V3" s="48">
        <f t="shared" ref="V3:V34" si="9">AVERAGE(S3:U3)</f>
        <v>9.4434424999999997</v>
      </c>
      <c r="W3" s="48">
        <f t="shared" ref="W3:W34" si="10">C3/S3</f>
        <v>1.8826624361149877E-3</v>
      </c>
      <c r="X3" s="48">
        <f t="shared" ref="X3:X34" si="11">C3/T3</f>
        <v>1.9131108622767962E-3</v>
      </c>
      <c r="Y3" s="48">
        <f t="shared" ref="Y3:Y34" si="12">C3/U3</f>
        <v>1.9229454396280596E-3</v>
      </c>
      <c r="Z3" s="48">
        <f t="shared" ref="Z3:Z34" si="13">AVERAGE(W3:Y3)</f>
        <v>1.9062395793399479E-3</v>
      </c>
      <c r="AA3" s="48">
        <f t="shared" ref="AA3:AA34" si="14">V3</f>
        <v>9.4434424999999997</v>
      </c>
      <c r="AB3" s="48">
        <f t="shared" ref="AB3:AB34" si="15">C3/AA3</f>
        <v>1.9060845660891141E-3</v>
      </c>
      <c r="AC3" s="48">
        <v>1236</v>
      </c>
      <c r="AD3" s="47">
        <f>(M3*N3)+(N3*O3)+(M3*O3)+(SQRT(N3^2+M3^2)*O3)</f>
        <v>35.511922353488885</v>
      </c>
      <c r="AE3" s="2"/>
      <c r="AF3" s="2"/>
      <c r="AG3" s="2"/>
      <c r="AH3" s="2"/>
      <c r="AI3" s="2"/>
      <c r="AJ3" s="2"/>
    </row>
    <row r="4" spans="1:36" ht="18.75" x14ac:dyDescent="0.3">
      <c r="A4" s="49" t="s">
        <v>156</v>
      </c>
      <c r="B4" s="49" t="s">
        <v>276</v>
      </c>
      <c r="C4" s="48">
        <v>1.78E-2</v>
      </c>
      <c r="D4" s="48">
        <v>3.48</v>
      </c>
      <c r="E4" s="48">
        <v>3.53</v>
      </c>
      <c r="F4" s="48">
        <v>2.35</v>
      </c>
      <c r="G4" s="48">
        <v>3.5</v>
      </c>
      <c r="H4" s="48">
        <v>3.5</v>
      </c>
      <c r="I4" s="48">
        <v>2.34</v>
      </c>
      <c r="J4" s="48">
        <v>3.49</v>
      </c>
      <c r="K4" s="48">
        <v>3.52</v>
      </c>
      <c r="L4" s="48">
        <v>2.35</v>
      </c>
      <c r="M4" s="48">
        <f t="shared" si="0"/>
        <v>3.49</v>
      </c>
      <c r="N4" s="48">
        <f t="shared" si="1"/>
        <v>3.5166666666666662</v>
      </c>
      <c r="O4" s="48">
        <f t="shared" si="2"/>
        <v>2.3466666666666662</v>
      </c>
      <c r="P4" s="48">
        <f t="shared" si="3"/>
        <v>1.0000000000000009E-2</v>
      </c>
      <c r="Q4" s="48">
        <f t="shared" si="4"/>
        <v>1.5275252316519385E-2</v>
      </c>
      <c r="R4" s="48">
        <f t="shared" si="5"/>
        <v>5.0917507721732246E-3</v>
      </c>
      <c r="S4" s="48">
        <f t="shared" si="6"/>
        <v>14.43417</v>
      </c>
      <c r="T4" s="48">
        <f t="shared" si="7"/>
        <v>14.3325</v>
      </c>
      <c r="U4" s="48">
        <f t="shared" si="8"/>
        <v>14.434640000000002</v>
      </c>
      <c r="V4" s="48">
        <f t="shared" si="9"/>
        <v>14.400436666666666</v>
      </c>
      <c r="W4" s="48">
        <f t="shared" si="10"/>
        <v>1.23318486618905E-3</v>
      </c>
      <c r="X4" s="48">
        <f t="shared" si="11"/>
        <v>1.2419326705040991E-3</v>
      </c>
      <c r="Y4" s="48">
        <f t="shared" si="12"/>
        <v>1.2331447129959596E-3</v>
      </c>
      <c r="Z4" s="48">
        <f t="shared" si="13"/>
        <v>1.2360874165630361E-3</v>
      </c>
      <c r="AA4" s="48">
        <f t="shared" si="14"/>
        <v>14.400436666666666</v>
      </c>
      <c r="AB4" s="48">
        <f t="shared" si="15"/>
        <v>1.236073628322845E-3</v>
      </c>
      <c r="AC4" s="48">
        <f t="shared" ref="AC4:AC36" si="16">AB4*10^6</f>
        <v>1236.073628322845</v>
      </c>
      <c r="AD4" s="47">
        <f t="shared" ref="AD3:AD34" si="17">(M4*N4)+(N4*O4)+(M4*O4)+(SQRT(N4^2+M4^2)*O4)</f>
        <v>40.342031666459476</v>
      </c>
      <c r="AE4" s="2"/>
      <c r="AF4" s="2"/>
      <c r="AG4" s="2"/>
      <c r="AH4" s="2"/>
      <c r="AI4" s="2"/>
      <c r="AJ4" s="2"/>
    </row>
    <row r="5" spans="1:36" ht="18.75" x14ac:dyDescent="0.3">
      <c r="A5" s="49" t="s">
        <v>156</v>
      </c>
      <c r="B5" s="49" t="s">
        <v>275</v>
      </c>
      <c r="C5" s="48">
        <v>1.7500000000000002E-2</v>
      </c>
      <c r="D5" s="48">
        <v>3.45</v>
      </c>
      <c r="E5" s="48">
        <v>3.53</v>
      </c>
      <c r="F5" s="48">
        <v>2.36</v>
      </c>
      <c r="G5" s="48">
        <v>3.49</v>
      </c>
      <c r="H5" s="48">
        <v>3.53</v>
      </c>
      <c r="I5" s="48">
        <v>2.36</v>
      </c>
      <c r="J5" s="48">
        <v>3.47</v>
      </c>
      <c r="K5" s="48">
        <v>3.52</v>
      </c>
      <c r="L5" s="48">
        <v>2.36</v>
      </c>
      <c r="M5" s="48">
        <f t="shared" si="0"/>
        <v>3.47</v>
      </c>
      <c r="N5" s="48">
        <f t="shared" si="1"/>
        <v>3.5266666666666668</v>
      </c>
      <c r="O5" s="48">
        <f t="shared" si="2"/>
        <v>2.36</v>
      </c>
      <c r="P5" s="48">
        <f t="shared" si="3"/>
        <v>2.0000000000000018E-2</v>
      </c>
      <c r="Q5" s="48">
        <f t="shared" si="4"/>
        <v>5.7735026918961348E-3</v>
      </c>
      <c r="R5" s="48">
        <f t="shared" si="5"/>
        <v>0</v>
      </c>
      <c r="S5" s="48">
        <f t="shared" si="6"/>
        <v>14.370629999999998</v>
      </c>
      <c r="T5" s="48">
        <f t="shared" si="7"/>
        <v>14.537245999999998</v>
      </c>
      <c r="U5" s="48">
        <f t="shared" si="8"/>
        <v>14.412992000000001</v>
      </c>
      <c r="V5" s="48">
        <f t="shared" si="9"/>
        <v>14.440289333333332</v>
      </c>
      <c r="W5" s="48">
        <f t="shared" si="10"/>
        <v>1.2177615038449952E-3</v>
      </c>
      <c r="X5" s="48">
        <f t="shared" si="11"/>
        <v>1.2038043519384623E-3</v>
      </c>
      <c r="Y5" s="48">
        <f t="shared" si="12"/>
        <v>1.2141823155108946E-3</v>
      </c>
      <c r="Z5" s="48">
        <f t="shared" si="13"/>
        <v>1.2119160570981174E-3</v>
      </c>
      <c r="AA5" s="48">
        <f t="shared" si="14"/>
        <v>14.440289333333332</v>
      </c>
      <c r="AB5" s="48">
        <f t="shared" si="15"/>
        <v>1.2118870748388515E-3</v>
      </c>
      <c r="AC5" s="48">
        <f t="shared" si="16"/>
        <v>1211.8870748388515</v>
      </c>
      <c r="AD5" s="47">
        <f t="shared" si="17"/>
        <v>40.425891052619136</v>
      </c>
      <c r="AE5" s="2"/>
      <c r="AF5" s="2"/>
      <c r="AG5" s="2"/>
      <c r="AH5" s="2"/>
      <c r="AI5" s="2"/>
      <c r="AJ5" s="2"/>
    </row>
    <row r="6" spans="1:36" ht="18.75" x14ac:dyDescent="0.3">
      <c r="A6" s="49" t="s">
        <v>156</v>
      </c>
      <c r="B6" s="49" t="s">
        <v>274</v>
      </c>
      <c r="C6" s="48">
        <v>2.1600000000000001E-2</v>
      </c>
      <c r="D6" s="48">
        <v>3.53</v>
      </c>
      <c r="E6" s="48">
        <v>3.48</v>
      </c>
      <c r="F6" s="48">
        <v>2.84</v>
      </c>
      <c r="G6" s="48">
        <v>3.55</v>
      </c>
      <c r="H6" s="48">
        <v>3.48</v>
      </c>
      <c r="I6" s="48">
        <v>2.83</v>
      </c>
      <c r="J6" s="48">
        <v>3.57</v>
      </c>
      <c r="K6" s="48">
        <v>3.48</v>
      </c>
      <c r="L6" s="48">
        <v>2.82</v>
      </c>
      <c r="M6" s="48">
        <f t="shared" si="0"/>
        <v>3.5500000000000003</v>
      </c>
      <c r="N6" s="48">
        <f t="shared" si="1"/>
        <v>3.48</v>
      </c>
      <c r="O6" s="48">
        <f t="shared" si="2"/>
        <v>2.83</v>
      </c>
      <c r="P6" s="48">
        <f t="shared" si="3"/>
        <v>2.0000000000000018E-2</v>
      </c>
      <c r="Q6" s="48">
        <f t="shared" si="4"/>
        <v>0</v>
      </c>
      <c r="R6" s="48">
        <f t="shared" si="5"/>
        <v>5.7735026918961348E-3</v>
      </c>
      <c r="S6" s="48">
        <f t="shared" si="6"/>
        <v>17.443847999999999</v>
      </c>
      <c r="T6" s="48">
        <f t="shared" si="7"/>
        <v>17.480909999999998</v>
      </c>
      <c r="U6" s="48">
        <f t="shared" si="8"/>
        <v>17.517275999999995</v>
      </c>
      <c r="V6" s="48">
        <f t="shared" si="9"/>
        <v>17.480677999999997</v>
      </c>
      <c r="W6" s="48">
        <f t="shared" si="10"/>
        <v>1.2382588979220641E-3</v>
      </c>
      <c r="X6" s="48">
        <f t="shared" si="11"/>
        <v>1.2356336140395439E-3</v>
      </c>
      <c r="Y6" s="48">
        <f t="shared" si="12"/>
        <v>1.2330684291324751E-3</v>
      </c>
      <c r="Z6" s="48">
        <f t="shared" si="13"/>
        <v>1.235653647031361E-3</v>
      </c>
      <c r="AA6" s="48">
        <f t="shared" si="14"/>
        <v>17.480677999999997</v>
      </c>
      <c r="AB6" s="48">
        <f t="shared" si="15"/>
        <v>1.2356500131173404E-3</v>
      </c>
      <c r="AC6" s="48">
        <f t="shared" si="16"/>
        <v>1235.6500131173404</v>
      </c>
      <c r="AD6" s="47">
        <f t="shared" si="17"/>
        <v>46.317416084150459</v>
      </c>
      <c r="AE6" s="2"/>
      <c r="AF6" s="2"/>
      <c r="AG6" s="2"/>
      <c r="AH6" s="2"/>
      <c r="AI6" s="2"/>
      <c r="AJ6" s="2"/>
    </row>
    <row r="7" spans="1:36" ht="18.75" x14ac:dyDescent="0.3">
      <c r="A7" s="49" t="s">
        <v>156</v>
      </c>
      <c r="B7" s="49" t="s">
        <v>273</v>
      </c>
      <c r="C7" s="48">
        <v>2.1399999999999999E-2</v>
      </c>
      <c r="D7" s="48">
        <v>3.53</v>
      </c>
      <c r="E7" s="48">
        <v>3.45</v>
      </c>
      <c r="F7" s="48">
        <v>2.85</v>
      </c>
      <c r="G7" s="48">
        <v>3.51</v>
      </c>
      <c r="H7" s="48">
        <v>3.45</v>
      </c>
      <c r="I7" s="48">
        <v>2.84</v>
      </c>
      <c r="J7" s="48">
        <v>3.5</v>
      </c>
      <c r="K7" s="48">
        <v>3.47</v>
      </c>
      <c r="L7" s="48">
        <v>2.85</v>
      </c>
      <c r="M7" s="48">
        <f t="shared" si="0"/>
        <v>3.5133333333333332</v>
      </c>
      <c r="N7" s="48">
        <f t="shared" si="1"/>
        <v>3.456666666666667</v>
      </c>
      <c r="O7" s="48">
        <f t="shared" si="2"/>
        <v>2.8466666666666662</v>
      </c>
      <c r="P7" s="48">
        <f t="shared" si="3"/>
        <v>1.5275252316519385E-2</v>
      </c>
      <c r="Q7" s="48">
        <f t="shared" si="4"/>
        <v>1.1547005383792526E-2</v>
      </c>
      <c r="R7" s="48">
        <f t="shared" si="5"/>
        <v>5.0917507721732246E-3</v>
      </c>
      <c r="S7" s="48">
        <f t="shared" si="6"/>
        <v>17.354362500000001</v>
      </c>
      <c r="T7" s="48">
        <f t="shared" si="7"/>
        <v>17.195489999999999</v>
      </c>
      <c r="U7" s="48">
        <f t="shared" si="8"/>
        <v>17.306625000000004</v>
      </c>
      <c r="V7" s="48">
        <f t="shared" si="9"/>
        <v>17.2854925</v>
      </c>
      <c r="W7" s="48">
        <f t="shared" si="10"/>
        <v>1.2331193381491252E-3</v>
      </c>
      <c r="X7" s="48">
        <f t="shared" si="11"/>
        <v>1.2445123692316996E-3</v>
      </c>
      <c r="Y7" s="48">
        <f t="shared" si="12"/>
        <v>1.2365206965540649E-3</v>
      </c>
      <c r="Z7" s="48">
        <f t="shared" si="13"/>
        <v>1.23805080131163E-3</v>
      </c>
      <c r="AA7" s="48">
        <f t="shared" si="14"/>
        <v>17.2854925</v>
      </c>
      <c r="AB7" s="48">
        <f t="shared" si="15"/>
        <v>1.2380324135977034E-3</v>
      </c>
      <c r="AC7" s="48">
        <f t="shared" si="16"/>
        <v>1238.0324135977035</v>
      </c>
      <c r="AD7" s="47">
        <f t="shared" si="17"/>
        <v>46.016046764088394</v>
      </c>
      <c r="AE7" s="2"/>
      <c r="AF7" s="2"/>
      <c r="AG7" s="2"/>
      <c r="AH7" s="2"/>
      <c r="AI7" s="2"/>
      <c r="AJ7" s="2"/>
    </row>
    <row r="8" spans="1:36" ht="18.75" x14ac:dyDescent="0.3">
      <c r="A8" s="49" t="s">
        <v>156</v>
      </c>
      <c r="B8" s="49" t="s">
        <v>272</v>
      </c>
      <c r="C8" s="48">
        <v>2.1100000000000001E-2</v>
      </c>
      <c r="D8" s="48">
        <v>3.61</v>
      </c>
      <c r="E8" s="48">
        <v>3.47</v>
      </c>
      <c r="F8" s="48">
        <v>2.84</v>
      </c>
      <c r="G8" s="48">
        <v>3.62</v>
      </c>
      <c r="H8" s="48">
        <v>3.46</v>
      </c>
      <c r="I8" s="48">
        <v>2.86</v>
      </c>
      <c r="J8" s="48">
        <v>3.63</v>
      </c>
      <c r="K8" s="48">
        <v>3.45</v>
      </c>
      <c r="L8" s="48">
        <v>2.85</v>
      </c>
      <c r="M8" s="48">
        <f t="shared" si="0"/>
        <v>3.6199999999999997</v>
      </c>
      <c r="N8" s="48">
        <f t="shared" si="1"/>
        <v>3.4599999999999995</v>
      </c>
      <c r="O8" s="48">
        <f t="shared" si="2"/>
        <v>2.8499999999999996</v>
      </c>
      <c r="P8" s="48">
        <f t="shared" si="3"/>
        <v>1.0000000000000009E-2</v>
      </c>
      <c r="Q8" s="48">
        <f t="shared" si="4"/>
        <v>1.0000000000000009E-2</v>
      </c>
      <c r="R8" s="48">
        <f t="shared" si="5"/>
        <v>1.0000000000000009E-2</v>
      </c>
      <c r="S8" s="48">
        <f t="shared" si="6"/>
        <v>17.787914000000001</v>
      </c>
      <c r="T8" s="48">
        <f t="shared" si="7"/>
        <v>17.911035999999999</v>
      </c>
      <c r="U8" s="48">
        <f t="shared" si="8"/>
        <v>17.8459875</v>
      </c>
      <c r="V8" s="48">
        <f t="shared" si="9"/>
        <v>17.848312499999999</v>
      </c>
      <c r="W8" s="48">
        <f t="shared" si="10"/>
        <v>1.1861986739985363E-3</v>
      </c>
      <c r="X8" s="48">
        <f t="shared" si="11"/>
        <v>1.1780446424204608E-3</v>
      </c>
      <c r="Y8" s="48">
        <f t="shared" si="12"/>
        <v>1.1823386069277479E-3</v>
      </c>
      <c r="Z8" s="48">
        <f t="shared" si="13"/>
        <v>1.182193974448915E-3</v>
      </c>
      <c r="AA8" s="48">
        <f t="shared" si="14"/>
        <v>17.848312499999999</v>
      </c>
      <c r="AB8" s="48">
        <f t="shared" si="15"/>
        <v>1.1821845902798935E-3</v>
      </c>
      <c r="AC8" s="48">
        <f t="shared" si="16"/>
        <v>1182.1845902798934</v>
      </c>
      <c r="AD8" s="47">
        <f t="shared" si="17"/>
        <v>46.974843563374186</v>
      </c>
      <c r="AE8" s="2"/>
      <c r="AF8" s="2"/>
      <c r="AG8" s="2"/>
      <c r="AH8" s="2"/>
      <c r="AI8" s="2"/>
      <c r="AJ8" s="2"/>
    </row>
    <row r="9" spans="1:36" ht="18.75" x14ac:dyDescent="0.3">
      <c r="A9" s="49" t="s">
        <v>156</v>
      </c>
      <c r="B9" s="49" t="s">
        <v>271</v>
      </c>
      <c r="C9" s="48">
        <v>2.1299999999999999E-2</v>
      </c>
      <c r="D9" s="48">
        <v>3.45</v>
      </c>
      <c r="E9" s="48">
        <v>3.47</v>
      </c>
      <c r="F9" s="48">
        <v>2.86</v>
      </c>
      <c r="G9" s="48">
        <v>3.47</v>
      </c>
      <c r="H9" s="48">
        <v>3.49</v>
      </c>
      <c r="I9" s="48">
        <v>2.85</v>
      </c>
      <c r="J9" s="48">
        <v>3.46</v>
      </c>
      <c r="K9" s="48">
        <v>3.49</v>
      </c>
      <c r="L9" s="48">
        <v>2.85</v>
      </c>
      <c r="M9" s="48">
        <f t="shared" si="0"/>
        <v>3.4599999999999995</v>
      </c>
      <c r="N9" s="48">
        <f t="shared" si="1"/>
        <v>3.4833333333333338</v>
      </c>
      <c r="O9" s="48">
        <f t="shared" si="2"/>
        <v>2.8533333333333335</v>
      </c>
      <c r="P9" s="48">
        <f t="shared" si="3"/>
        <v>1.0000000000000009E-2</v>
      </c>
      <c r="Q9" s="48">
        <f t="shared" si="4"/>
        <v>1.1547005383792526E-2</v>
      </c>
      <c r="R9" s="48">
        <f t="shared" si="5"/>
        <v>5.0917507721730312E-3</v>
      </c>
      <c r="S9" s="48">
        <f t="shared" si="6"/>
        <v>17.119244999999999</v>
      </c>
      <c r="T9" s="48">
        <f t="shared" si="7"/>
        <v>17.257177500000004</v>
      </c>
      <c r="U9" s="48">
        <f t="shared" si="8"/>
        <v>17.207445</v>
      </c>
      <c r="V9" s="48">
        <f t="shared" si="9"/>
        <v>17.194622500000001</v>
      </c>
      <c r="W9" s="48">
        <f t="shared" si="10"/>
        <v>1.2442137489124083E-3</v>
      </c>
      <c r="X9" s="48">
        <f t="shared" si="11"/>
        <v>1.2342690454450035E-3</v>
      </c>
      <c r="Y9" s="48">
        <f t="shared" si="12"/>
        <v>1.2378362970214345E-3</v>
      </c>
      <c r="Z9" s="48">
        <f t="shared" si="13"/>
        <v>1.2387730304596154E-3</v>
      </c>
      <c r="AA9" s="48">
        <f t="shared" si="14"/>
        <v>17.194622500000001</v>
      </c>
      <c r="AB9" s="48">
        <f t="shared" si="15"/>
        <v>1.2387593853834243E-3</v>
      </c>
      <c r="AC9" s="48">
        <f t="shared" si="16"/>
        <v>1238.7593853834242</v>
      </c>
      <c r="AD9" s="47">
        <f t="shared" si="17"/>
        <v>45.87300501369927</v>
      </c>
      <c r="AE9" s="2"/>
      <c r="AF9" s="2"/>
      <c r="AG9" s="2"/>
      <c r="AH9" s="2"/>
      <c r="AI9" s="2"/>
      <c r="AJ9" s="2"/>
    </row>
    <row r="10" spans="1:36" ht="18.75" x14ac:dyDescent="0.3">
      <c r="A10" s="49" t="s">
        <v>156</v>
      </c>
      <c r="B10" s="49" t="s">
        <v>270</v>
      </c>
      <c r="C10" s="48">
        <v>1.78E-2</v>
      </c>
      <c r="D10" s="48">
        <v>3.46</v>
      </c>
      <c r="E10" s="48">
        <v>3.5</v>
      </c>
      <c r="F10" s="48">
        <v>2.36</v>
      </c>
      <c r="G10" s="48">
        <v>3.47</v>
      </c>
      <c r="H10" s="48">
        <v>3.49</v>
      </c>
      <c r="I10" s="48">
        <v>2.37</v>
      </c>
      <c r="J10" s="48">
        <v>3.47</v>
      </c>
      <c r="K10" s="48">
        <v>3.47</v>
      </c>
      <c r="L10" s="48">
        <v>2.36</v>
      </c>
      <c r="M10" s="48">
        <f t="shared" si="0"/>
        <v>3.4666666666666668</v>
      </c>
      <c r="N10" s="48">
        <f t="shared" si="1"/>
        <v>3.4866666666666668</v>
      </c>
      <c r="O10" s="48">
        <f t="shared" si="2"/>
        <v>2.3633333333333333</v>
      </c>
      <c r="P10" s="48">
        <f t="shared" si="3"/>
        <v>5.7735026918963907E-3</v>
      </c>
      <c r="Q10" s="48">
        <f t="shared" si="4"/>
        <v>1.5275252316519383E-2</v>
      </c>
      <c r="R10" s="48">
        <f t="shared" si="5"/>
        <v>5.0917507721732732E-3</v>
      </c>
      <c r="S10" s="48">
        <f t="shared" si="6"/>
        <v>14.289799999999998</v>
      </c>
      <c r="T10" s="48">
        <f t="shared" si="7"/>
        <v>14.350705500000004</v>
      </c>
      <c r="U10" s="48">
        <f t="shared" si="8"/>
        <v>14.208262</v>
      </c>
      <c r="V10" s="48">
        <f t="shared" si="9"/>
        <v>14.2829225</v>
      </c>
      <c r="W10" s="48">
        <f t="shared" si="10"/>
        <v>1.245643745888676E-3</v>
      </c>
      <c r="X10" s="48">
        <f t="shared" si="11"/>
        <v>1.2403571378424563E-3</v>
      </c>
      <c r="Y10" s="48">
        <f t="shared" si="12"/>
        <v>1.252792213431875E-3</v>
      </c>
      <c r="Z10" s="48">
        <f t="shared" si="13"/>
        <v>1.2462643657210023E-3</v>
      </c>
      <c r="AA10" s="48">
        <f t="shared" si="14"/>
        <v>14.2829225</v>
      </c>
      <c r="AB10" s="48">
        <f t="shared" si="15"/>
        <v>1.2462435471452009E-3</v>
      </c>
      <c r="AC10" s="48">
        <f t="shared" si="16"/>
        <v>1246.2435471452009</v>
      </c>
      <c r="AD10" s="47">
        <f t="shared" si="17"/>
        <v>40.140120784652936</v>
      </c>
      <c r="AE10" s="2"/>
      <c r="AF10" s="2"/>
      <c r="AG10" s="2"/>
      <c r="AH10" s="2"/>
      <c r="AI10" s="2"/>
      <c r="AJ10" s="2"/>
    </row>
    <row r="11" spans="1:36" ht="18.75" x14ac:dyDescent="0.3">
      <c r="A11" s="49" t="s">
        <v>156</v>
      </c>
      <c r="B11" s="49" t="s">
        <v>269</v>
      </c>
      <c r="C11" s="48">
        <v>1.77E-2</v>
      </c>
      <c r="D11" s="48">
        <v>3.44</v>
      </c>
      <c r="E11" s="48">
        <v>3.53</v>
      </c>
      <c r="F11" s="48">
        <v>2.37</v>
      </c>
      <c r="G11" s="48">
        <v>3.43</v>
      </c>
      <c r="H11" s="48">
        <v>3.5</v>
      </c>
      <c r="I11" s="48">
        <v>2.36</v>
      </c>
      <c r="J11" s="48">
        <v>3.43</v>
      </c>
      <c r="K11" s="48">
        <v>3.5</v>
      </c>
      <c r="L11" s="48">
        <v>2.36</v>
      </c>
      <c r="M11" s="48">
        <f t="shared" si="0"/>
        <v>3.4333333333333336</v>
      </c>
      <c r="N11" s="48">
        <f t="shared" si="1"/>
        <v>3.51</v>
      </c>
      <c r="O11" s="48">
        <f t="shared" si="2"/>
        <v>2.3633333333333333</v>
      </c>
      <c r="P11" s="48">
        <f t="shared" si="3"/>
        <v>5.7735026918961348E-3</v>
      </c>
      <c r="Q11" s="48">
        <f t="shared" si="4"/>
        <v>1.7320508075688659E-2</v>
      </c>
      <c r="R11" s="48">
        <f t="shared" si="5"/>
        <v>5.0917507721732732E-3</v>
      </c>
      <c r="S11" s="48">
        <f t="shared" si="6"/>
        <v>14.389691999999998</v>
      </c>
      <c r="T11" s="48">
        <f t="shared" si="7"/>
        <v>14.165900000000001</v>
      </c>
      <c r="U11" s="48">
        <f t="shared" si="8"/>
        <v>14.165900000000001</v>
      </c>
      <c r="V11" s="48">
        <f t="shared" si="9"/>
        <v>14.240497333333332</v>
      </c>
      <c r="W11" s="48">
        <f t="shared" si="10"/>
        <v>1.2300471754364167E-3</v>
      </c>
      <c r="X11" s="48">
        <f t="shared" si="11"/>
        <v>1.2494793835901706E-3</v>
      </c>
      <c r="Y11" s="48">
        <f t="shared" si="12"/>
        <v>1.2494793835901706E-3</v>
      </c>
      <c r="Z11" s="48">
        <f t="shared" si="13"/>
        <v>1.2430019808722526E-3</v>
      </c>
      <c r="AA11" s="48">
        <f t="shared" si="14"/>
        <v>14.240497333333332</v>
      </c>
      <c r="AB11" s="48">
        <f t="shared" si="15"/>
        <v>1.2429341184994197E-3</v>
      </c>
      <c r="AC11" s="48">
        <f t="shared" si="16"/>
        <v>1242.9341184994198</v>
      </c>
      <c r="AD11" s="47">
        <f t="shared" si="17"/>
        <v>40.06432429647478</v>
      </c>
      <c r="AE11" s="2"/>
      <c r="AF11" s="2"/>
      <c r="AG11" s="2"/>
      <c r="AH11" s="2"/>
      <c r="AI11" s="2"/>
      <c r="AJ11" s="2"/>
    </row>
    <row r="12" spans="1:36" ht="18.75" x14ac:dyDescent="0.3">
      <c r="A12" s="49" t="s">
        <v>156</v>
      </c>
      <c r="B12" s="49" t="s">
        <v>268</v>
      </c>
      <c r="C12" s="48">
        <v>2.07E-2</v>
      </c>
      <c r="D12" s="48">
        <v>3.57</v>
      </c>
      <c r="E12" s="48">
        <v>3.53</v>
      </c>
      <c r="F12" s="48">
        <v>2.85</v>
      </c>
      <c r="G12" s="48">
        <v>3.57</v>
      </c>
      <c r="H12" s="48">
        <v>3.51</v>
      </c>
      <c r="I12" s="48">
        <v>2.86</v>
      </c>
      <c r="J12" s="48">
        <v>3.54</v>
      </c>
      <c r="K12" s="48">
        <v>3.53</v>
      </c>
      <c r="L12" s="48">
        <v>2.85</v>
      </c>
      <c r="M12" s="48">
        <f t="shared" si="0"/>
        <v>3.56</v>
      </c>
      <c r="N12" s="48">
        <f t="shared" si="1"/>
        <v>3.523333333333333</v>
      </c>
      <c r="O12" s="48">
        <f t="shared" si="2"/>
        <v>2.8533333333333335</v>
      </c>
      <c r="P12" s="48">
        <f t="shared" si="3"/>
        <v>1.7320508075688662E-2</v>
      </c>
      <c r="Q12" s="48">
        <f t="shared" si="4"/>
        <v>1.1547005383792526E-2</v>
      </c>
      <c r="R12" s="48">
        <f t="shared" si="5"/>
        <v>5.0917507721730312E-3</v>
      </c>
      <c r="S12" s="48">
        <f t="shared" si="6"/>
        <v>17.9579925</v>
      </c>
      <c r="T12" s="48">
        <f t="shared" si="7"/>
        <v>17.918900999999998</v>
      </c>
      <c r="U12" s="48">
        <f t="shared" si="8"/>
        <v>17.807085000000001</v>
      </c>
      <c r="V12" s="48">
        <f t="shared" si="9"/>
        <v>17.894659499999999</v>
      </c>
      <c r="W12" s="48">
        <f t="shared" si="10"/>
        <v>1.1526900904987012E-3</v>
      </c>
      <c r="X12" s="48">
        <f t="shared" si="11"/>
        <v>1.1552047751142774E-3</v>
      </c>
      <c r="Y12" s="48">
        <f t="shared" si="12"/>
        <v>1.1624586505876733E-3</v>
      </c>
      <c r="Z12" s="48">
        <f t="shared" si="13"/>
        <v>1.1567845054002172E-3</v>
      </c>
      <c r="AA12" s="48">
        <f t="shared" si="14"/>
        <v>17.894659499999999</v>
      </c>
      <c r="AB12" s="48">
        <f t="shared" si="15"/>
        <v>1.1567697055090654E-3</v>
      </c>
      <c r="AC12" s="48">
        <f t="shared" si="16"/>
        <v>1156.7697055090655</v>
      </c>
      <c r="AD12" s="47">
        <f t="shared" si="17"/>
        <v>47.045782973749674</v>
      </c>
      <c r="AE12" s="2"/>
      <c r="AF12" s="2"/>
      <c r="AG12" s="2"/>
      <c r="AH12" s="2"/>
      <c r="AI12" s="2"/>
      <c r="AJ12" s="2"/>
    </row>
    <row r="13" spans="1:36" ht="18.75" x14ac:dyDescent="0.3">
      <c r="A13" s="49" t="s">
        <v>156</v>
      </c>
      <c r="B13" s="49" t="s">
        <v>267</v>
      </c>
      <c r="C13" s="48">
        <v>1.1900000000000001E-2</v>
      </c>
      <c r="D13" s="48">
        <v>4.03</v>
      </c>
      <c r="E13" s="48">
        <v>1.62</v>
      </c>
      <c r="F13" s="48">
        <v>2.85</v>
      </c>
      <c r="G13" s="48">
        <v>4.0199999999999996</v>
      </c>
      <c r="H13" s="48">
        <v>1.6</v>
      </c>
      <c r="I13" s="48">
        <v>2.85</v>
      </c>
      <c r="J13" s="48">
        <v>4.03</v>
      </c>
      <c r="K13" s="48">
        <v>1.62</v>
      </c>
      <c r="L13" s="48">
        <v>2.85</v>
      </c>
      <c r="M13" s="48">
        <f t="shared" si="0"/>
        <v>4.0266666666666673</v>
      </c>
      <c r="N13" s="48">
        <f t="shared" si="1"/>
        <v>1.6133333333333333</v>
      </c>
      <c r="O13" s="48">
        <f t="shared" si="2"/>
        <v>2.85</v>
      </c>
      <c r="P13" s="48">
        <f t="shared" si="3"/>
        <v>5.7735026918966474E-3</v>
      </c>
      <c r="Q13" s="48">
        <f t="shared" si="4"/>
        <v>1.1547005383792526E-2</v>
      </c>
      <c r="R13" s="48">
        <f t="shared" si="5"/>
        <v>0</v>
      </c>
      <c r="S13" s="48">
        <f t="shared" si="6"/>
        <v>9.3032550000000018</v>
      </c>
      <c r="T13" s="48">
        <f t="shared" si="7"/>
        <v>9.1655999999999995</v>
      </c>
      <c r="U13" s="48">
        <f t="shared" si="8"/>
        <v>9.3032550000000018</v>
      </c>
      <c r="V13" s="48">
        <f t="shared" si="9"/>
        <v>9.2573700000000017</v>
      </c>
      <c r="W13" s="48">
        <f t="shared" si="10"/>
        <v>1.279122199703222E-3</v>
      </c>
      <c r="X13" s="48">
        <f t="shared" si="11"/>
        <v>1.2983328969189143E-3</v>
      </c>
      <c r="Y13" s="48">
        <f t="shared" si="12"/>
        <v>1.279122199703222E-3</v>
      </c>
      <c r="Z13" s="48">
        <f t="shared" si="13"/>
        <v>1.2855257654417862E-3</v>
      </c>
      <c r="AA13" s="48">
        <f t="shared" si="14"/>
        <v>9.2573700000000017</v>
      </c>
      <c r="AB13" s="48">
        <f t="shared" si="15"/>
        <v>1.2854622857247791E-3</v>
      </c>
      <c r="AC13" s="48">
        <f t="shared" si="16"/>
        <v>1285.4622857247791</v>
      </c>
      <c r="AD13" s="47">
        <f t="shared" si="17"/>
        <v>34.933210403850104</v>
      </c>
      <c r="AE13" s="2"/>
      <c r="AF13" s="2"/>
      <c r="AG13" s="2"/>
      <c r="AH13" s="2"/>
      <c r="AI13" s="2"/>
      <c r="AJ13" s="2"/>
    </row>
    <row r="14" spans="1:36" ht="18.75" x14ac:dyDescent="0.3">
      <c r="A14" s="49" t="s">
        <v>156</v>
      </c>
      <c r="B14" s="49" t="s">
        <v>266</v>
      </c>
      <c r="C14" s="48">
        <v>2.1299999999999999E-2</v>
      </c>
      <c r="D14" s="48">
        <v>3.44</v>
      </c>
      <c r="E14" s="48">
        <v>3.5</v>
      </c>
      <c r="F14" s="48">
        <v>2.85</v>
      </c>
      <c r="G14" s="48">
        <v>3.44</v>
      </c>
      <c r="H14" s="48">
        <v>3.51</v>
      </c>
      <c r="I14" s="48">
        <v>2.86</v>
      </c>
      <c r="J14" s="48">
        <v>3.45</v>
      </c>
      <c r="K14" s="48">
        <v>3.51</v>
      </c>
      <c r="L14" s="48">
        <v>2.86</v>
      </c>
      <c r="M14" s="48">
        <f t="shared" si="0"/>
        <v>3.4433333333333334</v>
      </c>
      <c r="N14" s="48">
        <f t="shared" si="1"/>
        <v>3.5066666666666664</v>
      </c>
      <c r="O14" s="48">
        <f t="shared" si="2"/>
        <v>2.8566666666666669</v>
      </c>
      <c r="P14" s="48">
        <f t="shared" si="3"/>
        <v>5.7735026918963907E-3</v>
      </c>
      <c r="Q14" s="48">
        <f t="shared" si="4"/>
        <v>5.7735026918961348E-3</v>
      </c>
      <c r="R14" s="48">
        <f t="shared" si="5"/>
        <v>5.0917507721730789E-3</v>
      </c>
      <c r="S14" s="48">
        <f t="shared" si="6"/>
        <v>17.157</v>
      </c>
      <c r="T14" s="48">
        <f t="shared" si="7"/>
        <v>17.266391999999996</v>
      </c>
      <c r="U14" s="48">
        <f t="shared" si="8"/>
        <v>17.316585</v>
      </c>
      <c r="V14" s="48">
        <f t="shared" si="9"/>
        <v>17.246658999999998</v>
      </c>
      <c r="W14" s="48">
        <f t="shared" si="10"/>
        <v>1.2414757824794544E-3</v>
      </c>
      <c r="X14" s="48">
        <f t="shared" si="11"/>
        <v>1.2336103570450621E-3</v>
      </c>
      <c r="Y14" s="48">
        <f t="shared" si="12"/>
        <v>1.2300346748507283E-3</v>
      </c>
      <c r="Z14" s="48">
        <f t="shared" si="13"/>
        <v>1.235040271458415E-3</v>
      </c>
      <c r="AA14" s="48">
        <f t="shared" si="14"/>
        <v>17.246658999999998</v>
      </c>
      <c r="AB14" s="48">
        <f t="shared" si="15"/>
        <v>1.235021809151558E-3</v>
      </c>
      <c r="AC14" s="48">
        <f t="shared" si="16"/>
        <v>1235.021809151558</v>
      </c>
      <c r="AD14" s="47">
        <f t="shared" si="17"/>
        <v>45.967818626547626</v>
      </c>
      <c r="AE14" s="2"/>
      <c r="AF14" s="2"/>
      <c r="AG14" s="2"/>
      <c r="AH14" s="2"/>
      <c r="AI14" s="2"/>
      <c r="AJ14" s="2"/>
    </row>
    <row r="15" spans="1:36" ht="18.75" x14ac:dyDescent="0.3">
      <c r="A15" s="49" t="s">
        <v>156</v>
      </c>
      <c r="B15" s="49" t="s">
        <v>265</v>
      </c>
      <c r="C15" s="48">
        <v>1.17E-2</v>
      </c>
      <c r="D15" s="48">
        <v>4.18</v>
      </c>
      <c r="E15" s="48">
        <v>1.66</v>
      </c>
      <c r="F15" s="48">
        <v>2.86</v>
      </c>
      <c r="G15" s="48">
        <v>4.16</v>
      </c>
      <c r="H15" s="48">
        <v>1.65</v>
      </c>
      <c r="I15" s="48">
        <v>2.85</v>
      </c>
      <c r="J15" s="48">
        <v>4.16</v>
      </c>
      <c r="K15" s="48">
        <v>1.65</v>
      </c>
      <c r="L15" s="48">
        <v>2.86</v>
      </c>
      <c r="M15" s="48">
        <f t="shared" si="0"/>
        <v>4.166666666666667</v>
      </c>
      <c r="N15" s="48">
        <f t="shared" si="1"/>
        <v>1.6533333333333331</v>
      </c>
      <c r="O15" s="48">
        <f t="shared" si="2"/>
        <v>2.8566666666666669</v>
      </c>
      <c r="P15" s="48">
        <f t="shared" si="3"/>
        <v>1.154700538379227E-2</v>
      </c>
      <c r="Q15" s="48">
        <f t="shared" si="4"/>
        <v>5.7735026918962632E-3</v>
      </c>
      <c r="R15" s="48">
        <f t="shared" si="5"/>
        <v>5.0917507721730789E-3</v>
      </c>
      <c r="S15" s="48">
        <f t="shared" si="6"/>
        <v>9.922483999999999</v>
      </c>
      <c r="T15" s="48">
        <f t="shared" si="7"/>
        <v>9.7812000000000001</v>
      </c>
      <c r="U15" s="48">
        <f t="shared" si="8"/>
        <v>9.8155199999999994</v>
      </c>
      <c r="V15" s="48">
        <f t="shared" si="9"/>
        <v>9.8397346666666667</v>
      </c>
      <c r="W15" s="48">
        <f t="shared" si="10"/>
        <v>1.1791402233553615E-3</v>
      </c>
      <c r="X15" s="48">
        <f t="shared" si="11"/>
        <v>1.1961722488038277E-3</v>
      </c>
      <c r="Y15" s="48">
        <f t="shared" si="12"/>
        <v>1.1919898283534649E-3</v>
      </c>
      <c r="Z15" s="48">
        <f t="shared" si="13"/>
        <v>1.1891007668375514E-3</v>
      </c>
      <c r="AA15" s="48">
        <f t="shared" si="14"/>
        <v>9.8397346666666667</v>
      </c>
      <c r="AB15" s="48">
        <f t="shared" si="15"/>
        <v>1.1890564528772524E-3</v>
      </c>
      <c r="AC15" s="48">
        <f t="shared" si="16"/>
        <v>1189.0564528772525</v>
      </c>
      <c r="AD15" s="47">
        <f t="shared" si="17"/>
        <v>36.32027586250183</v>
      </c>
      <c r="AE15" s="2"/>
      <c r="AF15" s="2"/>
      <c r="AG15" s="2"/>
      <c r="AH15" s="2"/>
      <c r="AI15" s="2"/>
      <c r="AJ15" s="2"/>
    </row>
    <row r="16" spans="1:36" ht="18.75" x14ac:dyDescent="0.3">
      <c r="A16" s="49" t="s">
        <v>156</v>
      </c>
      <c r="B16" s="49" t="s">
        <v>264</v>
      </c>
      <c r="C16" s="48">
        <v>9.9000000000000008E-3</v>
      </c>
      <c r="D16" s="48">
        <v>4.2300000000000004</v>
      </c>
      <c r="E16" s="48">
        <v>1.59</v>
      </c>
      <c r="F16" s="48">
        <v>2.36</v>
      </c>
      <c r="G16" s="48">
        <v>4.21</v>
      </c>
      <c r="H16" s="48">
        <v>1.59</v>
      </c>
      <c r="I16" s="48">
        <v>2.36</v>
      </c>
      <c r="J16" s="48">
        <v>4.2</v>
      </c>
      <c r="K16" s="48">
        <v>1.6</v>
      </c>
      <c r="L16" s="48">
        <v>2.35</v>
      </c>
      <c r="M16" s="48">
        <f t="shared" si="0"/>
        <v>4.2133333333333338</v>
      </c>
      <c r="N16" s="48">
        <f t="shared" si="1"/>
        <v>1.5933333333333335</v>
      </c>
      <c r="O16" s="48">
        <f t="shared" si="2"/>
        <v>2.3566666666666669</v>
      </c>
      <c r="P16" s="48">
        <f t="shared" si="3"/>
        <v>1.5275252316519626E-2</v>
      </c>
      <c r="Q16" s="48">
        <f t="shared" si="4"/>
        <v>5.7735026918962632E-3</v>
      </c>
      <c r="R16" s="48">
        <f t="shared" si="5"/>
        <v>1.9245008972985406E-3</v>
      </c>
      <c r="S16" s="48">
        <f t="shared" si="6"/>
        <v>7.9363260000000002</v>
      </c>
      <c r="T16" s="48">
        <f t="shared" si="7"/>
        <v>7.8988019999999999</v>
      </c>
      <c r="U16" s="48">
        <f t="shared" si="8"/>
        <v>7.8960000000000008</v>
      </c>
      <c r="V16" s="48">
        <f t="shared" si="9"/>
        <v>7.9103760000000003</v>
      </c>
      <c r="W16" s="48">
        <f t="shared" si="10"/>
        <v>1.247428596053136E-3</v>
      </c>
      <c r="X16" s="48">
        <f t="shared" si="11"/>
        <v>1.2533546226377115E-3</v>
      </c>
      <c r="Y16" s="48">
        <f t="shared" si="12"/>
        <v>1.2537993920972645E-3</v>
      </c>
      <c r="Z16" s="48">
        <f t="shared" si="13"/>
        <v>1.2515275369293706E-3</v>
      </c>
      <c r="AA16" s="48">
        <f t="shared" si="14"/>
        <v>7.9103760000000003</v>
      </c>
      <c r="AB16" s="48">
        <f t="shared" si="15"/>
        <v>1.2515207873810296E-3</v>
      </c>
      <c r="AC16" s="48">
        <f t="shared" si="16"/>
        <v>1251.5207873810295</v>
      </c>
      <c r="AD16" s="47">
        <f t="shared" si="17"/>
        <v>31.013323654127618</v>
      </c>
      <c r="AE16" s="2"/>
      <c r="AF16" s="2"/>
      <c r="AG16" s="2"/>
      <c r="AH16" s="2"/>
      <c r="AI16" s="2"/>
      <c r="AJ16" s="2"/>
    </row>
    <row r="17" spans="1:36" ht="18.75" x14ac:dyDescent="0.3">
      <c r="A17" s="49" t="s">
        <v>156</v>
      </c>
      <c r="B17" s="49" t="s">
        <v>263</v>
      </c>
      <c r="C17" s="48">
        <v>1.1900000000000001E-2</v>
      </c>
      <c r="D17" s="48">
        <v>4.01</v>
      </c>
      <c r="E17" s="48">
        <v>1.66</v>
      </c>
      <c r="F17" s="48">
        <v>2.88</v>
      </c>
      <c r="G17" s="48">
        <v>4.03</v>
      </c>
      <c r="H17" s="48">
        <v>1.68</v>
      </c>
      <c r="I17" s="48">
        <v>2.87</v>
      </c>
      <c r="J17" s="48">
        <v>4.03</v>
      </c>
      <c r="K17" s="48">
        <v>1.68</v>
      </c>
      <c r="L17" s="48">
        <v>2.88</v>
      </c>
      <c r="M17" s="48">
        <f t="shared" si="0"/>
        <v>4.0233333333333334</v>
      </c>
      <c r="N17" s="48">
        <f t="shared" si="1"/>
        <v>1.6733333333333331</v>
      </c>
      <c r="O17" s="48">
        <f t="shared" si="2"/>
        <v>2.8766666666666665</v>
      </c>
      <c r="P17" s="48">
        <f t="shared" si="3"/>
        <v>1.1547005383792781E-2</v>
      </c>
      <c r="Q17" s="48">
        <f t="shared" si="4"/>
        <v>1.1547005383792526E-2</v>
      </c>
      <c r="R17" s="48">
        <f t="shared" si="5"/>
        <v>5.0917507721730312E-3</v>
      </c>
      <c r="S17" s="48">
        <f t="shared" si="6"/>
        <v>9.5855039999999985</v>
      </c>
      <c r="T17" s="48">
        <f t="shared" si="7"/>
        <v>9.7155240000000003</v>
      </c>
      <c r="U17" s="48">
        <f t="shared" si="8"/>
        <v>9.7493759999999998</v>
      </c>
      <c r="V17" s="48">
        <f t="shared" si="9"/>
        <v>9.6834679999999995</v>
      </c>
      <c r="W17" s="48">
        <f t="shared" si="10"/>
        <v>1.2414579348149042E-3</v>
      </c>
      <c r="X17" s="48">
        <f t="shared" si="11"/>
        <v>1.2248438684315946E-3</v>
      </c>
      <c r="Y17" s="48">
        <f t="shared" si="12"/>
        <v>1.220590938332874E-3</v>
      </c>
      <c r="Z17" s="48">
        <f t="shared" si="13"/>
        <v>1.2289642471931242E-3</v>
      </c>
      <c r="AA17" s="48">
        <f t="shared" si="14"/>
        <v>9.6834679999999995</v>
      </c>
      <c r="AB17" s="48">
        <f t="shared" si="15"/>
        <v>1.2288985722883579E-3</v>
      </c>
      <c r="AC17" s="48">
        <f t="shared" si="16"/>
        <v>1228.8985722883579</v>
      </c>
      <c r="AD17" s="47">
        <f t="shared" si="17"/>
        <v>35.654682113118582</v>
      </c>
      <c r="AE17" s="2"/>
      <c r="AF17" s="2"/>
      <c r="AG17" s="2"/>
      <c r="AH17" s="2"/>
      <c r="AI17" s="2"/>
      <c r="AJ17" s="2"/>
    </row>
    <row r="18" spans="1:36" ht="18.75" x14ac:dyDescent="0.3">
      <c r="A18" s="49" t="s">
        <v>156</v>
      </c>
      <c r="B18" s="49" t="s">
        <v>262</v>
      </c>
      <c r="C18" s="48">
        <v>1.0200000000000001E-2</v>
      </c>
      <c r="D18" s="48">
        <v>4.32</v>
      </c>
      <c r="E18" s="48">
        <v>1.62</v>
      </c>
      <c r="F18" s="48">
        <v>2.35</v>
      </c>
      <c r="G18" s="48">
        <v>4.3099999999999996</v>
      </c>
      <c r="H18" s="48">
        <v>1.62</v>
      </c>
      <c r="I18" s="48">
        <v>2.35</v>
      </c>
      <c r="J18" s="48">
        <v>4.3099999999999996</v>
      </c>
      <c r="K18" s="48">
        <v>1.63</v>
      </c>
      <c r="L18" s="48">
        <v>2.33</v>
      </c>
      <c r="M18" s="48">
        <f t="shared" si="0"/>
        <v>4.3133333333333326</v>
      </c>
      <c r="N18" s="48">
        <f t="shared" si="1"/>
        <v>1.6233333333333333</v>
      </c>
      <c r="O18" s="48">
        <f t="shared" si="2"/>
        <v>2.3433333333333333</v>
      </c>
      <c r="P18" s="48">
        <f t="shared" si="3"/>
        <v>5.7735026918966474E-3</v>
      </c>
      <c r="Q18" s="48">
        <f t="shared" si="4"/>
        <v>5.7735026918961348E-3</v>
      </c>
      <c r="R18" s="48">
        <f t="shared" si="5"/>
        <v>3.8490017945975938E-3</v>
      </c>
      <c r="S18" s="48">
        <f t="shared" si="6"/>
        <v>8.2231200000000015</v>
      </c>
      <c r="T18" s="48">
        <f t="shared" si="7"/>
        <v>8.2040849999999992</v>
      </c>
      <c r="U18" s="48">
        <f t="shared" si="8"/>
        <v>8.1844744999999985</v>
      </c>
      <c r="V18" s="48">
        <f t="shared" si="9"/>
        <v>8.203893166666667</v>
      </c>
      <c r="W18" s="48">
        <f t="shared" si="10"/>
        <v>1.2404051017132181E-3</v>
      </c>
      <c r="X18" s="48">
        <f t="shared" si="11"/>
        <v>1.2432830717867991E-3</v>
      </c>
      <c r="Y18" s="48">
        <f t="shared" si="12"/>
        <v>1.2462620538435305E-3</v>
      </c>
      <c r="Z18" s="48">
        <f t="shared" si="13"/>
        <v>1.2433167424478492E-3</v>
      </c>
      <c r="AA18" s="48">
        <f t="shared" si="14"/>
        <v>8.203893166666667</v>
      </c>
      <c r="AB18" s="48">
        <f t="shared" si="15"/>
        <v>1.2433121437324098E-3</v>
      </c>
      <c r="AC18" s="48">
        <f t="shared" si="16"/>
        <v>1243.3121437324098</v>
      </c>
      <c r="AD18" s="47">
        <f t="shared" si="17"/>
        <v>31.713271712050258</v>
      </c>
      <c r="AE18" s="2"/>
      <c r="AF18" s="2"/>
      <c r="AG18" s="2"/>
      <c r="AH18" s="2"/>
      <c r="AI18" s="2"/>
      <c r="AJ18" s="2"/>
    </row>
    <row r="19" spans="1:36" ht="18.75" x14ac:dyDescent="0.3">
      <c r="A19" s="49" t="s">
        <v>156</v>
      </c>
      <c r="B19" s="49" t="s">
        <v>261</v>
      </c>
      <c r="C19" s="48">
        <v>1.2E-2</v>
      </c>
      <c r="D19" s="48">
        <v>4.03</v>
      </c>
      <c r="E19" s="48">
        <v>1.66</v>
      </c>
      <c r="F19" s="48">
        <v>2.86</v>
      </c>
      <c r="G19" s="48">
        <v>4.03</v>
      </c>
      <c r="H19" s="48">
        <v>1.64</v>
      </c>
      <c r="I19" s="48">
        <v>2.86</v>
      </c>
      <c r="J19" s="48">
        <v>4.04</v>
      </c>
      <c r="K19" s="48">
        <v>1.65</v>
      </c>
      <c r="L19" s="48">
        <v>2.85</v>
      </c>
      <c r="M19" s="48">
        <f t="shared" si="0"/>
        <v>4.0333333333333341</v>
      </c>
      <c r="N19" s="48">
        <f t="shared" si="1"/>
        <v>1.6499999999999997</v>
      </c>
      <c r="O19" s="48">
        <f t="shared" si="2"/>
        <v>2.8566666666666669</v>
      </c>
      <c r="P19" s="48">
        <f t="shared" si="3"/>
        <v>5.7735026918961348E-3</v>
      </c>
      <c r="Q19" s="48">
        <f t="shared" si="4"/>
        <v>1.0000000000000009E-2</v>
      </c>
      <c r="R19" s="48">
        <f t="shared" si="5"/>
        <v>1.9245008972985406E-3</v>
      </c>
      <c r="S19" s="48">
        <f t="shared" si="6"/>
        <v>9.566414</v>
      </c>
      <c r="T19" s="48">
        <f t="shared" si="7"/>
        <v>9.451156000000001</v>
      </c>
      <c r="U19" s="48">
        <f t="shared" si="8"/>
        <v>9.4990500000000004</v>
      </c>
      <c r="V19" s="48">
        <f t="shared" si="9"/>
        <v>9.5055399999999999</v>
      </c>
      <c r="W19" s="48">
        <f t="shared" si="10"/>
        <v>1.254388530540284E-3</v>
      </c>
      <c r="X19" s="48">
        <f t="shared" si="11"/>
        <v>1.2696859516444336E-3</v>
      </c>
      <c r="Y19" s="48">
        <f t="shared" si="12"/>
        <v>1.263284223159158E-3</v>
      </c>
      <c r="Z19" s="48">
        <f t="shared" si="13"/>
        <v>1.2624529017812918E-3</v>
      </c>
      <c r="AA19" s="48">
        <f t="shared" si="14"/>
        <v>9.5055399999999999</v>
      </c>
      <c r="AB19" s="48">
        <f t="shared" si="15"/>
        <v>1.2624217035539275E-3</v>
      </c>
      <c r="AC19" s="48">
        <f t="shared" si="16"/>
        <v>1262.4217035539275</v>
      </c>
      <c r="AD19" s="47">
        <f t="shared" si="17"/>
        <v>35.339123998043611</v>
      </c>
      <c r="AE19" s="2"/>
      <c r="AF19" s="2"/>
      <c r="AG19" s="2"/>
      <c r="AH19" s="2"/>
      <c r="AI19" s="2"/>
      <c r="AJ19" s="2"/>
    </row>
    <row r="20" spans="1:36" ht="18.75" x14ac:dyDescent="0.3">
      <c r="A20" s="49" t="s">
        <v>156</v>
      </c>
      <c r="B20" s="49" t="s">
        <v>260</v>
      </c>
      <c r="C20" s="48">
        <v>2.1499999999999998E-2</v>
      </c>
      <c r="D20" s="48">
        <v>3.6</v>
      </c>
      <c r="E20" s="48">
        <v>3.47</v>
      </c>
      <c r="F20" s="48">
        <v>2.85</v>
      </c>
      <c r="G20" s="48">
        <v>3.62</v>
      </c>
      <c r="H20" s="48">
        <v>3.49</v>
      </c>
      <c r="I20" s="48">
        <v>2.84</v>
      </c>
      <c r="J20" s="48">
        <v>3.61</v>
      </c>
      <c r="K20" s="48">
        <v>3.48</v>
      </c>
      <c r="L20" s="48">
        <v>2.86</v>
      </c>
      <c r="M20" s="48">
        <f t="shared" si="0"/>
        <v>3.61</v>
      </c>
      <c r="N20" s="48">
        <f t="shared" si="1"/>
        <v>3.4800000000000004</v>
      </c>
      <c r="O20" s="48">
        <f t="shared" si="2"/>
        <v>2.8499999999999996</v>
      </c>
      <c r="P20" s="48">
        <f t="shared" si="3"/>
        <v>1.0000000000000009E-2</v>
      </c>
      <c r="Q20" s="48">
        <f t="shared" si="4"/>
        <v>1.0000000000000009E-2</v>
      </c>
      <c r="R20" s="48">
        <f t="shared" si="5"/>
        <v>5.7735026918962632E-3</v>
      </c>
      <c r="S20" s="48">
        <f t="shared" si="6"/>
        <v>17.801100000000002</v>
      </c>
      <c r="T20" s="48">
        <f t="shared" si="7"/>
        <v>17.939996000000001</v>
      </c>
      <c r="U20" s="48">
        <f t="shared" si="8"/>
        <v>17.964803999999997</v>
      </c>
      <c r="V20" s="48">
        <f t="shared" si="9"/>
        <v>17.901966666666667</v>
      </c>
      <c r="W20" s="48">
        <f t="shared" si="10"/>
        <v>1.2077905297987201E-3</v>
      </c>
      <c r="X20" s="48">
        <f t="shared" si="11"/>
        <v>1.1984395091280955E-3</v>
      </c>
      <c r="Y20" s="48">
        <f t="shared" si="12"/>
        <v>1.1967845571819208E-3</v>
      </c>
      <c r="Z20" s="48">
        <f t="shared" si="13"/>
        <v>1.2010048653695786E-3</v>
      </c>
      <c r="AA20" s="48">
        <f t="shared" si="14"/>
        <v>17.901966666666667</v>
      </c>
      <c r="AB20" s="48">
        <f t="shared" si="15"/>
        <v>1.2009853665984555E-3</v>
      </c>
      <c r="AC20" s="48">
        <f t="shared" si="16"/>
        <v>1200.9853665984556</v>
      </c>
      <c r="AD20" s="47">
        <f t="shared" si="17"/>
        <v>47.059854791539763</v>
      </c>
      <c r="AE20" s="2"/>
      <c r="AF20" s="2"/>
      <c r="AG20" s="2"/>
      <c r="AH20" s="2"/>
      <c r="AI20" s="2"/>
      <c r="AJ20" s="2"/>
    </row>
    <row r="21" spans="1:36" ht="18.75" x14ac:dyDescent="0.3">
      <c r="A21" s="49" t="s">
        <v>156</v>
      </c>
      <c r="B21" s="49" t="s">
        <v>259</v>
      </c>
      <c r="C21" s="48">
        <v>1.17E-2</v>
      </c>
      <c r="D21" s="48">
        <v>4.04</v>
      </c>
      <c r="E21" s="48">
        <v>1.59</v>
      </c>
      <c r="F21" s="48">
        <v>2.84</v>
      </c>
      <c r="G21" s="48">
        <v>4.04</v>
      </c>
      <c r="H21" s="48">
        <v>1.61</v>
      </c>
      <c r="I21" s="48">
        <v>2.85</v>
      </c>
      <c r="J21" s="48">
        <v>4.04</v>
      </c>
      <c r="K21" s="48">
        <v>1.61</v>
      </c>
      <c r="L21" s="48">
        <v>2.85</v>
      </c>
      <c r="M21" s="48">
        <f t="shared" si="0"/>
        <v>4.04</v>
      </c>
      <c r="N21" s="48">
        <f t="shared" si="1"/>
        <v>1.6033333333333335</v>
      </c>
      <c r="O21" s="48">
        <f t="shared" si="2"/>
        <v>2.8466666666666662</v>
      </c>
      <c r="P21" s="48">
        <f t="shared" si="3"/>
        <v>0</v>
      </c>
      <c r="Q21" s="48">
        <f t="shared" si="4"/>
        <v>1.1547005383792525E-2</v>
      </c>
      <c r="R21" s="48">
        <f t="shared" si="5"/>
        <v>5.0917507721732246E-3</v>
      </c>
      <c r="S21" s="48">
        <f t="shared" si="6"/>
        <v>9.121512000000001</v>
      </c>
      <c r="T21" s="48">
        <f t="shared" si="7"/>
        <v>9.2687700000000017</v>
      </c>
      <c r="U21" s="48">
        <f t="shared" si="8"/>
        <v>9.2687700000000017</v>
      </c>
      <c r="V21" s="48">
        <f t="shared" si="9"/>
        <v>9.2196840000000009</v>
      </c>
      <c r="W21" s="48">
        <f t="shared" si="10"/>
        <v>1.2826820816548834E-3</v>
      </c>
      <c r="X21" s="48">
        <f t="shared" si="11"/>
        <v>1.2623034124268915E-3</v>
      </c>
      <c r="Y21" s="48">
        <f t="shared" si="12"/>
        <v>1.2623034124268915E-3</v>
      </c>
      <c r="Z21" s="48">
        <f t="shared" si="13"/>
        <v>1.2690963021695556E-3</v>
      </c>
      <c r="AA21" s="48">
        <f t="shared" si="14"/>
        <v>9.2196840000000009</v>
      </c>
      <c r="AB21" s="48">
        <f t="shared" si="15"/>
        <v>1.2690239708866378E-3</v>
      </c>
      <c r="AC21" s="48">
        <f t="shared" si="16"/>
        <v>1269.0239708866377</v>
      </c>
      <c r="AD21" s="47">
        <f t="shared" si="17"/>
        <v>34.915262800157436</v>
      </c>
      <c r="AE21" s="2"/>
      <c r="AF21" s="2"/>
      <c r="AG21" s="2"/>
      <c r="AH21" s="2"/>
      <c r="AI21" s="2"/>
      <c r="AJ21" s="2"/>
    </row>
    <row r="22" spans="1:36" ht="18.75" x14ac:dyDescent="0.3">
      <c r="A22" s="49" t="s">
        <v>156</v>
      </c>
      <c r="B22" s="49" t="s">
        <v>258</v>
      </c>
      <c r="C22" s="48">
        <v>1.7500000000000002E-2</v>
      </c>
      <c r="D22" s="48">
        <v>3.41</v>
      </c>
      <c r="E22" s="48">
        <v>3.45</v>
      </c>
      <c r="F22" s="48">
        <v>2.37</v>
      </c>
      <c r="G22" s="48">
        <v>3.42</v>
      </c>
      <c r="H22" s="48">
        <v>3.46</v>
      </c>
      <c r="I22" s="48">
        <v>2.36</v>
      </c>
      <c r="J22" s="48">
        <v>3.42</v>
      </c>
      <c r="K22" s="48">
        <v>3.46</v>
      </c>
      <c r="L22" s="48">
        <v>2.36</v>
      </c>
      <c r="M22" s="48">
        <f t="shared" si="0"/>
        <v>3.4166666666666665</v>
      </c>
      <c r="N22" s="48">
        <f t="shared" si="1"/>
        <v>3.456666666666667</v>
      </c>
      <c r="O22" s="48">
        <f t="shared" si="2"/>
        <v>2.3633333333333333</v>
      </c>
      <c r="P22" s="48">
        <f t="shared" si="3"/>
        <v>5.7735026918961348E-3</v>
      </c>
      <c r="Q22" s="48">
        <f t="shared" si="4"/>
        <v>5.7735026918961348E-3</v>
      </c>
      <c r="R22" s="48">
        <f t="shared" si="5"/>
        <v>5.0917507721732732E-3</v>
      </c>
      <c r="S22" s="48">
        <f t="shared" si="6"/>
        <v>13.940932500000002</v>
      </c>
      <c r="T22" s="48">
        <f t="shared" si="7"/>
        <v>13.963175999999999</v>
      </c>
      <c r="U22" s="48">
        <f t="shared" si="8"/>
        <v>13.963175999999999</v>
      </c>
      <c r="V22" s="48">
        <f t="shared" si="9"/>
        <v>13.955761499999999</v>
      </c>
      <c r="W22" s="48">
        <f t="shared" si="10"/>
        <v>1.2552962292873881E-3</v>
      </c>
      <c r="X22" s="48">
        <f t="shared" si="11"/>
        <v>1.2532965279532396E-3</v>
      </c>
      <c r="Y22" s="48">
        <f t="shared" si="12"/>
        <v>1.2532965279532396E-3</v>
      </c>
      <c r="Z22" s="48">
        <f t="shared" si="13"/>
        <v>1.2539630950646223E-3</v>
      </c>
      <c r="AA22" s="48">
        <f t="shared" si="14"/>
        <v>13.955761499999999</v>
      </c>
      <c r="AB22" s="48">
        <f t="shared" si="15"/>
        <v>1.253962386789141E-3</v>
      </c>
      <c r="AC22" s="48">
        <f t="shared" si="16"/>
        <v>1253.962386789141</v>
      </c>
      <c r="AD22" s="47">
        <f t="shared" si="17"/>
        <v>39.540676899822216</v>
      </c>
      <c r="AE22" s="2"/>
      <c r="AF22" s="2"/>
      <c r="AG22" s="2"/>
      <c r="AH22" s="2"/>
      <c r="AI22" s="2"/>
      <c r="AJ22" s="2"/>
    </row>
    <row r="23" spans="1:36" ht="18.75" x14ac:dyDescent="0.3">
      <c r="A23" s="49" t="s">
        <v>156</v>
      </c>
      <c r="B23" s="49" t="s">
        <v>257</v>
      </c>
      <c r="C23" s="48">
        <v>1.24E-2</v>
      </c>
      <c r="D23" s="48">
        <v>4.3499999999999996</v>
      </c>
      <c r="E23" s="48">
        <v>1.6</v>
      </c>
      <c r="F23" s="48">
        <v>2.85</v>
      </c>
      <c r="G23" s="48">
        <v>4.34</v>
      </c>
      <c r="H23" s="48">
        <v>1.63</v>
      </c>
      <c r="I23" s="48">
        <v>2.85</v>
      </c>
      <c r="J23" s="48">
        <v>4.34</v>
      </c>
      <c r="K23" s="48">
        <v>1.61</v>
      </c>
      <c r="L23" s="48">
        <v>2.85</v>
      </c>
      <c r="M23" s="48">
        <f t="shared" si="0"/>
        <v>4.3433333333333328</v>
      </c>
      <c r="N23" s="48">
        <f t="shared" si="1"/>
        <v>1.6133333333333333</v>
      </c>
      <c r="O23" s="48">
        <f t="shared" si="2"/>
        <v>2.85</v>
      </c>
      <c r="P23" s="48">
        <f t="shared" si="3"/>
        <v>5.7735026918961348E-3</v>
      </c>
      <c r="Q23" s="48">
        <f t="shared" si="4"/>
        <v>1.5275252316519359E-2</v>
      </c>
      <c r="R23" s="48">
        <f t="shared" si="5"/>
        <v>0</v>
      </c>
      <c r="S23" s="48">
        <f t="shared" si="6"/>
        <v>9.918000000000001</v>
      </c>
      <c r="T23" s="48">
        <f t="shared" si="7"/>
        <v>10.080734999999999</v>
      </c>
      <c r="U23" s="48">
        <f t="shared" si="8"/>
        <v>9.9570450000000008</v>
      </c>
      <c r="V23" s="48">
        <f t="shared" si="9"/>
        <v>9.9852600000000002</v>
      </c>
      <c r="W23" s="48">
        <f t="shared" si="10"/>
        <v>1.2502520669489814E-3</v>
      </c>
      <c r="X23" s="48">
        <f t="shared" si="11"/>
        <v>1.2300690376247367E-3</v>
      </c>
      <c r="Y23" s="48">
        <f t="shared" si="12"/>
        <v>1.2453493983405719E-3</v>
      </c>
      <c r="Z23" s="48">
        <f t="shared" si="13"/>
        <v>1.2418901676380968E-3</v>
      </c>
      <c r="AA23" s="48">
        <f t="shared" si="14"/>
        <v>9.9852600000000002</v>
      </c>
      <c r="AB23" s="48">
        <f t="shared" si="15"/>
        <v>1.2418304580952323E-3</v>
      </c>
      <c r="AC23" s="48">
        <f t="shared" si="16"/>
        <v>1241.8304580952322</v>
      </c>
      <c r="AD23" s="47">
        <f t="shared" si="17"/>
        <v>37.188624839586225</v>
      </c>
      <c r="AE23" s="2"/>
      <c r="AF23" s="2"/>
      <c r="AG23" s="2"/>
      <c r="AH23" s="2"/>
      <c r="AI23" s="2"/>
      <c r="AJ23" s="2"/>
    </row>
    <row r="24" spans="1:36" ht="18.75" x14ac:dyDescent="0.3">
      <c r="A24" s="49" t="s">
        <v>156</v>
      </c>
      <c r="B24" s="49" t="s">
        <v>256</v>
      </c>
      <c r="C24" s="48">
        <v>2.06E-2</v>
      </c>
      <c r="D24" s="48">
        <v>3.58</v>
      </c>
      <c r="E24" s="48">
        <v>3.45</v>
      </c>
      <c r="F24" s="48">
        <v>2.85</v>
      </c>
      <c r="G24" s="48">
        <v>3.59</v>
      </c>
      <c r="H24" s="48">
        <v>3.42</v>
      </c>
      <c r="I24" s="48">
        <v>2.84</v>
      </c>
      <c r="J24" s="48">
        <v>3.58</v>
      </c>
      <c r="K24" s="48">
        <v>3.45</v>
      </c>
      <c r="L24" s="48">
        <v>2.85</v>
      </c>
      <c r="M24" s="48">
        <f t="shared" si="0"/>
        <v>3.5833333333333335</v>
      </c>
      <c r="N24" s="48">
        <f t="shared" si="1"/>
        <v>3.44</v>
      </c>
      <c r="O24" s="48">
        <f t="shared" si="2"/>
        <v>2.8466666666666662</v>
      </c>
      <c r="P24" s="48">
        <f t="shared" si="3"/>
        <v>5.7735026918961348E-3</v>
      </c>
      <c r="Q24" s="48">
        <f t="shared" si="4"/>
        <v>1.7320508075688915E-2</v>
      </c>
      <c r="R24" s="48">
        <f t="shared" si="5"/>
        <v>5.0917507721732246E-3</v>
      </c>
      <c r="S24" s="48">
        <f t="shared" si="6"/>
        <v>17.600175</v>
      </c>
      <c r="T24" s="48">
        <f t="shared" si="7"/>
        <v>17.434475999999997</v>
      </c>
      <c r="U24" s="48">
        <f t="shared" si="8"/>
        <v>17.600175</v>
      </c>
      <c r="V24" s="48">
        <f t="shared" si="9"/>
        <v>17.544941999999999</v>
      </c>
      <c r="W24" s="48">
        <f t="shared" si="10"/>
        <v>1.1704429075279081E-3</v>
      </c>
      <c r="X24" s="48">
        <f t="shared" si="11"/>
        <v>1.1815669137403386E-3</v>
      </c>
      <c r="Y24" s="48">
        <f t="shared" si="12"/>
        <v>1.1704429075279081E-3</v>
      </c>
      <c r="Z24" s="48">
        <f t="shared" si="13"/>
        <v>1.1741509095987183E-3</v>
      </c>
      <c r="AA24" s="48">
        <f t="shared" si="14"/>
        <v>17.544941999999999</v>
      </c>
      <c r="AB24" s="48">
        <f t="shared" si="15"/>
        <v>1.1741275633741052E-3</v>
      </c>
      <c r="AC24" s="48">
        <f t="shared" si="16"/>
        <v>1174.1275633741052</v>
      </c>
      <c r="AD24" s="47">
        <f t="shared" si="17"/>
        <v>46.459948012747205</v>
      </c>
      <c r="AE24" s="2"/>
      <c r="AF24" s="2"/>
      <c r="AG24" s="2"/>
      <c r="AH24" s="2"/>
      <c r="AI24" s="2"/>
      <c r="AJ24" s="2"/>
    </row>
    <row r="25" spans="1:36" ht="18.75" x14ac:dyDescent="0.3">
      <c r="A25" s="49" t="s">
        <v>156</v>
      </c>
      <c r="B25" s="49" t="s">
        <v>255</v>
      </c>
      <c r="C25" s="48">
        <v>1.04E-2</v>
      </c>
      <c r="D25" s="48">
        <v>4.18</v>
      </c>
      <c r="E25" s="48">
        <v>1.61</v>
      </c>
      <c r="F25" s="48">
        <v>2.34</v>
      </c>
      <c r="G25" s="48">
        <v>4.2</v>
      </c>
      <c r="H25" s="48">
        <v>1.59</v>
      </c>
      <c r="I25" s="48">
        <v>2.3199999999999998</v>
      </c>
      <c r="J25" s="48">
        <v>4.17</v>
      </c>
      <c r="K25" s="48">
        <v>1.6</v>
      </c>
      <c r="L25" s="48">
        <v>2.34</v>
      </c>
      <c r="M25" s="48">
        <f t="shared" si="0"/>
        <v>4.1833333333333327</v>
      </c>
      <c r="N25" s="48">
        <f t="shared" si="1"/>
        <v>1.6000000000000003</v>
      </c>
      <c r="O25" s="48">
        <f t="shared" si="2"/>
        <v>2.3333333333333335</v>
      </c>
      <c r="P25" s="48">
        <f t="shared" si="3"/>
        <v>1.5275252316519626E-2</v>
      </c>
      <c r="Q25" s="48">
        <f t="shared" si="4"/>
        <v>1.0000000000000009E-2</v>
      </c>
      <c r="R25" s="48">
        <f t="shared" si="5"/>
        <v>1.0183501544346352E-2</v>
      </c>
      <c r="S25" s="48">
        <f t="shared" si="6"/>
        <v>7.8738659999999996</v>
      </c>
      <c r="T25" s="48">
        <f t="shared" si="7"/>
        <v>7.74648</v>
      </c>
      <c r="U25" s="48">
        <f t="shared" si="8"/>
        <v>7.8062399999999998</v>
      </c>
      <c r="V25" s="48">
        <f t="shared" si="9"/>
        <v>7.8088620000000004</v>
      </c>
      <c r="W25" s="48">
        <f t="shared" si="10"/>
        <v>1.3208251194521217E-3</v>
      </c>
      <c r="X25" s="48">
        <f t="shared" si="11"/>
        <v>1.342545259266144E-3</v>
      </c>
      <c r="Y25" s="48">
        <f t="shared" si="12"/>
        <v>1.3322675193178789E-3</v>
      </c>
      <c r="Z25" s="48">
        <f t="shared" si="13"/>
        <v>1.3318792993453818E-3</v>
      </c>
      <c r="AA25" s="48">
        <f t="shared" si="14"/>
        <v>7.8088620000000004</v>
      </c>
      <c r="AB25" s="48">
        <f t="shared" si="15"/>
        <v>1.3318201807126313E-3</v>
      </c>
      <c r="AC25" s="48">
        <f t="shared" si="16"/>
        <v>1331.8201807126313</v>
      </c>
      <c r="AD25" s="47">
        <f t="shared" si="17"/>
        <v>30.638474783300165</v>
      </c>
      <c r="AE25" s="2"/>
      <c r="AF25" s="2"/>
      <c r="AG25" s="2"/>
      <c r="AH25" s="2"/>
      <c r="AI25" s="2"/>
      <c r="AJ25" s="2"/>
    </row>
    <row r="26" spans="1:36" ht="18.75" x14ac:dyDescent="0.3">
      <c r="A26" s="49" t="s">
        <v>156</v>
      </c>
      <c r="B26" s="49" t="s">
        <v>254</v>
      </c>
      <c r="C26" s="48">
        <v>9.1000000000000004E-3</v>
      </c>
      <c r="D26" s="48">
        <v>3.15</v>
      </c>
      <c r="E26" s="48">
        <v>1.62</v>
      </c>
      <c r="F26" s="48">
        <v>2.85</v>
      </c>
      <c r="G26" s="48">
        <v>3.16</v>
      </c>
      <c r="H26" s="48">
        <v>1.61</v>
      </c>
      <c r="I26" s="48">
        <v>2.86</v>
      </c>
      <c r="J26" s="48">
        <v>3.18</v>
      </c>
      <c r="K26" s="48">
        <v>1.61</v>
      </c>
      <c r="L26" s="48">
        <v>2.85</v>
      </c>
      <c r="M26" s="48">
        <f t="shared" si="0"/>
        <v>3.1633333333333336</v>
      </c>
      <c r="N26" s="48">
        <f t="shared" si="1"/>
        <v>1.6133333333333335</v>
      </c>
      <c r="O26" s="48">
        <f t="shared" si="2"/>
        <v>2.8533333333333335</v>
      </c>
      <c r="P26" s="48">
        <f t="shared" si="3"/>
        <v>1.5275252316519577E-2</v>
      </c>
      <c r="Q26" s="48">
        <f t="shared" si="4"/>
        <v>5.7735026918962632E-3</v>
      </c>
      <c r="R26" s="48">
        <f t="shared" si="5"/>
        <v>5.0917507721730312E-3</v>
      </c>
      <c r="S26" s="48">
        <f t="shared" si="6"/>
        <v>7.2717749999999999</v>
      </c>
      <c r="T26" s="48">
        <f t="shared" si="7"/>
        <v>7.2752679999999996</v>
      </c>
      <c r="U26" s="48">
        <f t="shared" si="8"/>
        <v>7.2957150000000013</v>
      </c>
      <c r="V26" s="48">
        <f t="shared" si="9"/>
        <v>7.2809193333333333</v>
      </c>
      <c r="W26" s="48">
        <f t="shared" si="10"/>
        <v>1.2514138570019013E-3</v>
      </c>
      <c r="X26" s="48">
        <f t="shared" si="11"/>
        <v>1.2508130284685046E-3</v>
      </c>
      <c r="Y26" s="48">
        <f t="shared" si="12"/>
        <v>1.2473074948788432E-3</v>
      </c>
      <c r="Z26" s="48">
        <f t="shared" si="13"/>
        <v>1.2498447934497497E-3</v>
      </c>
      <c r="AA26" s="48">
        <f t="shared" si="14"/>
        <v>7.2809193333333333</v>
      </c>
      <c r="AB26" s="48">
        <f t="shared" si="15"/>
        <v>1.2498421673673261E-3</v>
      </c>
      <c r="AC26" s="48">
        <f t="shared" si="16"/>
        <v>1249.8421673673261</v>
      </c>
      <c r="AD26" s="47">
        <f t="shared" si="17"/>
        <v>28.865088349815501</v>
      </c>
      <c r="AE26" s="2"/>
      <c r="AF26" s="2"/>
      <c r="AG26" s="2"/>
      <c r="AH26" s="2"/>
      <c r="AI26" s="2"/>
      <c r="AJ26" s="2"/>
    </row>
    <row r="27" spans="1:36" ht="18.75" x14ac:dyDescent="0.3">
      <c r="A27" s="49" t="s">
        <v>156</v>
      </c>
      <c r="B27" s="49" t="s">
        <v>253</v>
      </c>
      <c r="C27" s="48">
        <v>8.8000000000000005E-3</v>
      </c>
      <c r="D27" s="48">
        <v>2.48</v>
      </c>
      <c r="E27" s="48">
        <v>2.5299999999999998</v>
      </c>
      <c r="F27" s="48">
        <v>2.38</v>
      </c>
      <c r="G27" s="48">
        <v>2.4500000000000002</v>
      </c>
      <c r="H27" s="48">
        <v>2.5299999999999998</v>
      </c>
      <c r="I27" s="48">
        <v>2.37</v>
      </c>
      <c r="J27" s="48">
        <v>2.46</v>
      </c>
      <c r="K27" s="48">
        <v>2.52</v>
      </c>
      <c r="L27" s="48">
        <v>2.37</v>
      </c>
      <c r="M27" s="48">
        <f t="shared" si="0"/>
        <v>2.4633333333333334</v>
      </c>
      <c r="N27" s="48">
        <f t="shared" si="1"/>
        <v>2.5266666666666668</v>
      </c>
      <c r="O27" s="48">
        <f t="shared" si="2"/>
        <v>2.3733333333333335</v>
      </c>
      <c r="P27" s="48">
        <f t="shared" si="3"/>
        <v>1.5275252316519385E-2</v>
      </c>
      <c r="Q27" s="48">
        <f t="shared" si="4"/>
        <v>5.7735026918961348E-3</v>
      </c>
      <c r="R27" s="48">
        <f t="shared" si="5"/>
        <v>5.0917507721730312E-3</v>
      </c>
      <c r="S27" s="48">
        <f t="shared" si="6"/>
        <v>7.4665359999999987</v>
      </c>
      <c r="T27" s="48">
        <f t="shared" si="7"/>
        <v>7.3452225000000002</v>
      </c>
      <c r="U27" s="48">
        <f t="shared" si="8"/>
        <v>7.3460520000000002</v>
      </c>
      <c r="V27" s="48">
        <f t="shared" si="9"/>
        <v>7.3859368333333331</v>
      </c>
      <c r="W27" s="48">
        <f t="shared" si="10"/>
        <v>1.1785920539323727E-3</v>
      </c>
      <c r="X27" s="48">
        <f t="shared" si="11"/>
        <v>1.1980576490364997E-3</v>
      </c>
      <c r="Y27" s="48">
        <f t="shared" si="12"/>
        <v>1.1979223670074755E-3</v>
      </c>
      <c r="Z27" s="48">
        <f t="shared" si="13"/>
        <v>1.1915240233254492E-3</v>
      </c>
      <c r="AA27" s="48">
        <f t="shared" si="14"/>
        <v>7.3859368333333331</v>
      </c>
      <c r="AB27" s="48">
        <f t="shared" si="15"/>
        <v>1.1914534606205791E-3</v>
      </c>
      <c r="AC27" s="48">
        <f t="shared" si="16"/>
        <v>1191.4534606205791</v>
      </c>
      <c r="AD27" s="47">
        <f t="shared" si="17"/>
        <v>26.441848491226477</v>
      </c>
      <c r="AE27" s="2"/>
      <c r="AF27" s="2"/>
      <c r="AG27" s="2"/>
      <c r="AH27" s="2"/>
      <c r="AI27" s="2"/>
      <c r="AJ27" s="2"/>
    </row>
    <row r="28" spans="1:36" ht="18.75" x14ac:dyDescent="0.3">
      <c r="A28" s="49" t="s">
        <v>156</v>
      </c>
      <c r="B28" s="49" t="s">
        <v>252</v>
      </c>
      <c r="C28" s="48">
        <v>1.11E-2</v>
      </c>
      <c r="D28" s="48">
        <v>2.4500000000000002</v>
      </c>
      <c r="E28" s="48">
        <v>2.48</v>
      </c>
      <c r="F28" s="48">
        <v>2.86</v>
      </c>
      <c r="G28" s="48">
        <v>2.4500000000000002</v>
      </c>
      <c r="H28" s="48">
        <v>2.4700000000000002</v>
      </c>
      <c r="I28" s="48">
        <v>2.86</v>
      </c>
      <c r="J28" s="48">
        <v>2.44</v>
      </c>
      <c r="K28" s="48">
        <v>2.46</v>
      </c>
      <c r="L28" s="48">
        <v>2.85</v>
      </c>
      <c r="M28" s="48">
        <f t="shared" si="0"/>
        <v>2.4466666666666668</v>
      </c>
      <c r="N28" s="48">
        <f t="shared" si="1"/>
        <v>2.4700000000000002</v>
      </c>
      <c r="O28" s="48">
        <f t="shared" si="2"/>
        <v>2.8566666666666669</v>
      </c>
      <c r="P28" s="48">
        <f t="shared" si="3"/>
        <v>5.7735026918963907E-3</v>
      </c>
      <c r="Q28" s="48">
        <f t="shared" si="4"/>
        <v>1.0000000000000009E-2</v>
      </c>
      <c r="R28" s="48">
        <f t="shared" si="5"/>
        <v>1.9245008972985406E-3</v>
      </c>
      <c r="S28" s="48">
        <f t="shared" si="6"/>
        <v>8.6886799999999997</v>
      </c>
      <c r="T28" s="48">
        <f t="shared" si="7"/>
        <v>8.6536450000000009</v>
      </c>
      <c r="U28" s="48">
        <f t="shared" si="8"/>
        <v>8.5534199999999991</v>
      </c>
      <c r="V28" s="48">
        <f t="shared" si="9"/>
        <v>8.6319150000000011</v>
      </c>
      <c r="W28" s="48">
        <f t="shared" si="10"/>
        <v>1.2775243189989734E-3</v>
      </c>
      <c r="X28" s="48">
        <f t="shared" si="11"/>
        <v>1.282696482233787E-3</v>
      </c>
      <c r="Y28" s="48">
        <f t="shared" si="12"/>
        <v>1.2977265234257176E-3</v>
      </c>
      <c r="Z28" s="48">
        <f t="shared" si="13"/>
        <v>1.285982441552826E-3</v>
      </c>
      <c r="AA28" s="48">
        <f t="shared" si="14"/>
        <v>8.6319150000000011</v>
      </c>
      <c r="AB28" s="48">
        <f t="shared" si="15"/>
        <v>1.2859255449109495E-3</v>
      </c>
      <c r="AC28" s="48">
        <f t="shared" si="16"/>
        <v>1285.9255449109496</v>
      </c>
      <c r="AD28" s="47">
        <f t="shared" si="17"/>
        <v>30.020167444186853</v>
      </c>
      <c r="AE28" s="2"/>
      <c r="AF28" s="2"/>
      <c r="AG28" s="2"/>
      <c r="AH28" s="2"/>
      <c r="AI28" s="2"/>
      <c r="AJ28" s="2"/>
    </row>
    <row r="29" spans="1:36" ht="18.75" x14ac:dyDescent="0.3">
      <c r="A29" s="49" t="s">
        <v>156</v>
      </c>
      <c r="B29" s="49" t="s">
        <v>251</v>
      </c>
      <c r="C29" s="48">
        <v>8.9999999999999993E-3</v>
      </c>
      <c r="D29" s="48">
        <v>2.56</v>
      </c>
      <c r="E29" s="48">
        <v>2.5299999999999998</v>
      </c>
      <c r="F29" s="48">
        <v>2.35</v>
      </c>
      <c r="G29" s="48">
        <v>2.57</v>
      </c>
      <c r="H29" s="48">
        <v>2.52</v>
      </c>
      <c r="I29" s="48">
        <v>2.35</v>
      </c>
      <c r="J29" s="48">
        <v>2.58</v>
      </c>
      <c r="K29" s="48">
        <v>2.52</v>
      </c>
      <c r="L29" s="48">
        <v>2.34</v>
      </c>
      <c r="M29" s="48">
        <f t="shared" si="0"/>
        <v>2.57</v>
      </c>
      <c r="N29" s="48">
        <f t="shared" si="1"/>
        <v>2.5233333333333334</v>
      </c>
      <c r="O29" s="48">
        <f t="shared" si="2"/>
        <v>2.3466666666666667</v>
      </c>
      <c r="P29" s="48">
        <f t="shared" si="3"/>
        <v>1.0000000000000009E-2</v>
      </c>
      <c r="Q29" s="48">
        <f t="shared" si="4"/>
        <v>5.7735026918961348E-3</v>
      </c>
      <c r="R29" s="48">
        <f t="shared" si="5"/>
        <v>1.9245008972987969E-3</v>
      </c>
      <c r="S29" s="48">
        <f t="shared" si="6"/>
        <v>7.6102400000000001</v>
      </c>
      <c r="T29" s="48">
        <f t="shared" si="7"/>
        <v>7.6097700000000001</v>
      </c>
      <c r="U29" s="48">
        <f t="shared" si="8"/>
        <v>7.6068719999999992</v>
      </c>
      <c r="V29" s="48">
        <f t="shared" si="9"/>
        <v>7.6089606666666656</v>
      </c>
      <c r="W29" s="48">
        <f t="shared" si="10"/>
        <v>1.1826171053738121E-3</v>
      </c>
      <c r="X29" s="48">
        <f t="shared" si="11"/>
        <v>1.1826901470083852E-3</v>
      </c>
      <c r="Y29" s="48">
        <f t="shared" si="12"/>
        <v>1.183140718024439E-3</v>
      </c>
      <c r="Z29" s="48">
        <f t="shared" si="13"/>
        <v>1.1828159901355454E-3</v>
      </c>
      <c r="AA29" s="48">
        <f t="shared" si="14"/>
        <v>7.6089606666666656</v>
      </c>
      <c r="AB29" s="48">
        <f t="shared" si="15"/>
        <v>1.1828159448145394E-3</v>
      </c>
      <c r="AC29" s="48">
        <f t="shared" si="16"/>
        <v>1182.8159448145393</v>
      </c>
      <c r="AD29" s="47">
        <f t="shared" si="17"/>
        <v>26.889268625562593</v>
      </c>
      <c r="AE29" s="2"/>
      <c r="AF29" s="2"/>
      <c r="AG29" s="2"/>
      <c r="AH29" s="2"/>
      <c r="AI29" s="2"/>
      <c r="AJ29" s="2"/>
    </row>
    <row r="30" spans="1:36" ht="18.75" x14ac:dyDescent="0.3">
      <c r="A30" s="49" t="s">
        <v>156</v>
      </c>
      <c r="B30" s="49" t="s">
        <v>250</v>
      </c>
      <c r="C30" s="48">
        <v>7.7000000000000002E-3</v>
      </c>
      <c r="D30" s="48">
        <v>3.26</v>
      </c>
      <c r="E30" s="48">
        <v>1.67</v>
      </c>
      <c r="F30" s="48">
        <v>2.36</v>
      </c>
      <c r="G30" s="48">
        <v>3.27</v>
      </c>
      <c r="H30" s="48">
        <v>1.66</v>
      </c>
      <c r="I30" s="48">
        <v>2.35</v>
      </c>
      <c r="J30" s="48">
        <v>3.28</v>
      </c>
      <c r="K30" s="48">
        <v>1.66</v>
      </c>
      <c r="L30" s="48">
        <v>2.35</v>
      </c>
      <c r="M30" s="48">
        <f t="shared" si="0"/>
        <v>3.2699999999999996</v>
      </c>
      <c r="N30" s="48">
        <f t="shared" si="1"/>
        <v>1.6633333333333333</v>
      </c>
      <c r="O30" s="48">
        <f t="shared" si="2"/>
        <v>2.3533333333333335</v>
      </c>
      <c r="P30" s="48">
        <f t="shared" si="3"/>
        <v>1.0000000000000009E-2</v>
      </c>
      <c r="Q30" s="48">
        <f t="shared" si="4"/>
        <v>5.7735026918962632E-3</v>
      </c>
      <c r="R30" s="48">
        <f t="shared" si="5"/>
        <v>5.0917507721730312E-3</v>
      </c>
      <c r="S30" s="48">
        <f t="shared" si="6"/>
        <v>6.4241559999999991</v>
      </c>
      <c r="T30" s="48">
        <f t="shared" si="7"/>
        <v>6.3781349999999994</v>
      </c>
      <c r="U30" s="48">
        <f t="shared" si="8"/>
        <v>6.3976399999999991</v>
      </c>
      <c r="V30" s="48">
        <f t="shared" si="9"/>
        <v>6.3999769999999998</v>
      </c>
      <c r="W30" s="48">
        <f t="shared" si="10"/>
        <v>1.1986010302365013E-3</v>
      </c>
      <c r="X30" s="48">
        <f t="shared" si="11"/>
        <v>1.2072494545819429E-3</v>
      </c>
      <c r="Y30" s="48">
        <f t="shared" si="12"/>
        <v>1.2035688160009004E-3</v>
      </c>
      <c r="Z30" s="48">
        <f t="shared" si="13"/>
        <v>1.2031397669397816E-3</v>
      </c>
      <c r="AA30" s="48">
        <f t="shared" si="14"/>
        <v>6.3999769999999998</v>
      </c>
      <c r="AB30" s="48">
        <f t="shared" si="15"/>
        <v>1.2031293237460073E-3</v>
      </c>
      <c r="AC30" s="48">
        <f t="shared" si="16"/>
        <v>1203.1293237460072</v>
      </c>
      <c r="AD30" s="47">
        <f t="shared" si="17"/>
        <v>25.682621725055832</v>
      </c>
      <c r="AE30" s="2"/>
      <c r="AF30" s="2"/>
      <c r="AG30" s="2"/>
      <c r="AH30" s="2"/>
      <c r="AI30" s="2"/>
      <c r="AJ30" s="2"/>
    </row>
    <row r="31" spans="1:36" ht="18.75" x14ac:dyDescent="0.3">
      <c r="A31" s="49" t="s">
        <v>156</v>
      </c>
      <c r="B31" s="49" t="s">
        <v>249</v>
      </c>
      <c r="C31" s="48">
        <v>4.7999999999999996E-3</v>
      </c>
      <c r="D31" s="48">
        <v>4.0999999999999996</v>
      </c>
      <c r="E31" s="48">
        <v>1.71</v>
      </c>
      <c r="F31" s="48">
        <v>1.08</v>
      </c>
      <c r="G31" s="48">
        <v>4.09</v>
      </c>
      <c r="H31" s="48">
        <v>1.7</v>
      </c>
      <c r="I31" s="48">
        <v>1.08</v>
      </c>
      <c r="J31" s="48">
        <v>4.1100000000000003</v>
      </c>
      <c r="K31" s="48">
        <v>1.72</v>
      </c>
      <c r="L31" s="48">
        <v>1.08</v>
      </c>
      <c r="M31" s="48">
        <f t="shared" si="0"/>
        <v>4.1000000000000005</v>
      </c>
      <c r="N31" s="48">
        <f t="shared" si="1"/>
        <v>1.71</v>
      </c>
      <c r="O31" s="48">
        <f t="shared" si="2"/>
        <v>1.08</v>
      </c>
      <c r="P31" s="48">
        <f t="shared" si="3"/>
        <v>1.0000000000000231E-2</v>
      </c>
      <c r="Q31" s="48">
        <f t="shared" si="4"/>
        <v>1.0000000000000009E-2</v>
      </c>
      <c r="R31" s="48">
        <f t="shared" si="5"/>
        <v>0</v>
      </c>
      <c r="S31" s="48">
        <f t="shared" si="6"/>
        <v>3.7859399999999996</v>
      </c>
      <c r="T31" s="48">
        <f t="shared" si="7"/>
        <v>3.7546200000000001</v>
      </c>
      <c r="U31" s="48">
        <f t="shared" si="8"/>
        <v>3.8173680000000005</v>
      </c>
      <c r="V31" s="48">
        <f t="shared" si="9"/>
        <v>3.7859759999999998</v>
      </c>
      <c r="W31" s="48">
        <f t="shared" si="10"/>
        <v>1.2678489357992996E-3</v>
      </c>
      <c r="X31" s="48">
        <f t="shared" si="11"/>
        <v>1.2784249804241173E-3</v>
      </c>
      <c r="Y31" s="48">
        <f t="shared" si="12"/>
        <v>1.2574108652872867E-3</v>
      </c>
      <c r="Z31" s="48">
        <f t="shared" si="13"/>
        <v>1.2678949271702346E-3</v>
      </c>
      <c r="AA31" s="48">
        <f t="shared" si="14"/>
        <v>3.7859759999999998</v>
      </c>
      <c r="AB31" s="48">
        <f t="shared" si="15"/>
        <v>1.2678368801070053E-3</v>
      </c>
      <c r="AC31" s="48">
        <f t="shared" si="16"/>
        <v>1267.8368801070053</v>
      </c>
      <c r="AD31" s="47">
        <f t="shared" si="17"/>
        <v>18.083492595404589</v>
      </c>
      <c r="AE31" s="2"/>
      <c r="AF31" s="2"/>
      <c r="AG31" s="2"/>
      <c r="AH31" s="2"/>
      <c r="AI31" s="2"/>
      <c r="AJ31" s="2"/>
    </row>
    <row r="32" spans="1:36" ht="18.75" x14ac:dyDescent="0.3">
      <c r="A32" s="49" t="s">
        <v>156</v>
      </c>
      <c r="B32" s="49" t="s">
        <v>248</v>
      </c>
      <c r="C32" s="48">
        <v>9.1999999999999998E-3</v>
      </c>
      <c r="D32" s="48">
        <v>2.46</v>
      </c>
      <c r="E32" s="48">
        <v>2.4700000000000002</v>
      </c>
      <c r="F32" s="48">
        <v>2.37</v>
      </c>
      <c r="G32" s="48">
        <v>2.46</v>
      </c>
      <c r="H32" s="48">
        <v>2.46</v>
      </c>
      <c r="I32" s="48">
        <v>2.37</v>
      </c>
      <c r="J32" s="48">
        <v>2.4700000000000002</v>
      </c>
      <c r="K32" s="48">
        <v>2.46</v>
      </c>
      <c r="L32" s="48">
        <v>2.36</v>
      </c>
      <c r="M32" s="48">
        <f t="shared" si="0"/>
        <v>2.4633333333333334</v>
      </c>
      <c r="N32" s="48">
        <f t="shared" si="1"/>
        <v>2.4633333333333334</v>
      </c>
      <c r="O32" s="48">
        <f t="shared" si="2"/>
        <v>2.3666666666666667</v>
      </c>
      <c r="P32" s="48">
        <f t="shared" si="3"/>
        <v>5.7735026918963907E-3</v>
      </c>
      <c r="Q32" s="48">
        <f t="shared" si="4"/>
        <v>5.7735026918963907E-3</v>
      </c>
      <c r="R32" s="48">
        <f t="shared" si="5"/>
        <v>1.9245008972987971E-3</v>
      </c>
      <c r="S32" s="48">
        <f t="shared" si="6"/>
        <v>7.2002969999999999</v>
      </c>
      <c r="T32" s="48">
        <f t="shared" si="7"/>
        <v>7.1711460000000002</v>
      </c>
      <c r="U32" s="48">
        <f t="shared" si="8"/>
        <v>7.1699159999999997</v>
      </c>
      <c r="V32" s="48">
        <f t="shared" si="9"/>
        <v>7.180453</v>
      </c>
      <c r="W32" s="48">
        <f t="shared" si="10"/>
        <v>1.2777250716185734E-3</v>
      </c>
      <c r="X32" s="48">
        <f t="shared" si="11"/>
        <v>1.2829190759747464E-3</v>
      </c>
      <c r="Y32" s="48">
        <f t="shared" si="12"/>
        <v>1.2831391609050928E-3</v>
      </c>
      <c r="Z32" s="48">
        <f t="shared" si="13"/>
        <v>1.2812611028328042E-3</v>
      </c>
      <c r="AA32" s="48">
        <f t="shared" si="14"/>
        <v>7.180453</v>
      </c>
      <c r="AB32" s="48">
        <f t="shared" si="15"/>
        <v>1.2812562104368623E-3</v>
      </c>
      <c r="AC32" s="48">
        <f t="shared" si="16"/>
        <v>1281.2562104368624</v>
      </c>
      <c r="AD32" s="47">
        <f t="shared" si="17"/>
        <v>25.97249682268377</v>
      </c>
      <c r="AE32" s="2"/>
      <c r="AF32" s="2"/>
      <c r="AG32" s="2"/>
      <c r="AH32" s="2"/>
      <c r="AI32" s="2"/>
      <c r="AJ32" s="2"/>
    </row>
    <row r="33" spans="1:36" ht="18.75" x14ac:dyDescent="0.3">
      <c r="A33" s="49" t="s">
        <v>156</v>
      </c>
      <c r="B33" s="49" t="s">
        <v>247</v>
      </c>
      <c r="C33" s="48">
        <v>2.7000000000000001E-3</v>
      </c>
      <c r="D33" s="48">
        <v>2.44</v>
      </c>
      <c r="E33" s="48">
        <v>1.64</v>
      </c>
      <c r="F33" s="48">
        <v>1.07</v>
      </c>
      <c r="G33" s="48">
        <v>2.4300000000000002</v>
      </c>
      <c r="H33" s="48">
        <v>1.63</v>
      </c>
      <c r="I33" s="48">
        <v>1.07</v>
      </c>
      <c r="J33" s="48">
        <v>2.4300000000000002</v>
      </c>
      <c r="K33" s="48">
        <v>1.64</v>
      </c>
      <c r="L33" s="48">
        <v>1.07</v>
      </c>
      <c r="M33" s="48">
        <f t="shared" si="0"/>
        <v>2.4333333333333336</v>
      </c>
      <c r="N33" s="48">
        <f t="shared" si="1"/>
        <v>1.6366666666666665</v>
      </c>
      <c r="O33" s="48">
        <f t="shared" si="2"/>
        <v>1.07</v>
      </c>
      <c r="P33" s="48">
        <f t="shared" si="3"/>
        <v>5.7735026918961348E-3</v>
      </c>
      <c r="Q33" s="48">
        <f t="shared" si="4"/>
        <v>5.7735026918962632E-3</v>
      </c>
      <c r="R33" s="48">
        <f t="shared" si="5"/>
        <v>0</v>
      </c>
      <c r="S33" s="48">
        <f t="shared" si="6"/>
        <v>2.1408559999999999</v>
      </c>
      <c r="T33" s="48">
        <f t="shared" si="7"/>
        <v>2.1190815000000001</v>
      </c>
      <c r="U33" s="48">
        <f t="shared" si="8"/>
        <v>2.132082</v>
      </c>
      <c r="V33" s="48">
        <f t="shared" si="9"/>
        <v>2.1306731666666665</v>
      </c>
      <c r="W33" s="48">
        <f t="shared" si="10"/>
        <v>1.2611777718819015E-3</v>
      </c>
      <c r="X33" s="48">
        <f t="shared" si="11"/>
        <v>1.2741369314960278E-3</v>
      </c>
      <c r="Y33" s="48">
        <f t="shared" si="12"/>
        <v>1.2663678038649546E-3</v>
      </c>
      <c r="Z33" s="48">
        <f t="shared" si="13"/>
        <v>1.2672275024142945E-3</v>
      </c>
      <c r="AA33" s="48">
        <f t="shared" si="14"/>
        <v>2.1306731666666665</v>
      </c>
      <c r="AB33" s="48">
        <f t="shared" si="15"/>
        <v>1.2672051454160928E-3</v>
      </c>
      <c r="AC33" s="48">
        <f t="shared" si="16"/>
        <v>1267.2051454160928</v>
      </c>
      <c r="AD33" s="47">
        <f t="shared" si="17"/>
        <v>11.475272997486952</v>
      </c>
      <c r="AE33" s="2"/>
      <c r="AF33" s="2"/>
      <c r="AG33" s="2"/>
      <c r="AH33" s="2"/>
      <c r="AI33" s="2"/>
      <c r="AJ33" s="2"/>
    </row>
    <row r="34" spans="1:36" ht="18.75" x14ac:dyDescent="0.3">
      <c r="A34" s="49" t="s">
        <v>156</v>
      </c>
      <c r="B34" s="49" t="s">
        <v>246</v>
      </c>
      <c r="C34" s="48">
        <v>3.0000000000000001E-3</v>
      </c>
      <c r="D34" s="48">
        <v>2.38</v>
      </c>
      <c r="E34" s="48">
        <v>1.74</v>
      </c>
      <c r="F34" s="48">
        <v>1.1200000000000001</v>
      </c>
      <c r="G34" s="48">
        <v>2.38</v>
      </c>
      <c r="H34" s="48">
        <v>1.75</v>
      </c>
      <c r="I34" s="48">
        <v>1.1200000000000001</v>
      </c>
      <c r="J34" s="48">
        <v>2.38</v>
      </c>
      <c r="K34" s="48">
        <v>1.74</v>
      </c>
      <c r="L34" s="48">
        <v>1.1100000000000001</v>
      </c>
      <c r="M34" s="48">
        <f t="shared" si="0"/>
        <v>2.38</v>
      </c>
      <c r="N34" s="48">
        <f t="shared" si="1"/>
        <v>1.7433333333333334</v>
      </c>
      <c r="O34" s="48">
        <f t="shared" si="2"/>
        <v>1.1166666666666669</v>
      </c>
      <c r="P34" s="48">
        <f t="shared" si="3"/>
        <v>0</v>
      </c>
      <c r="Q34" s="48">
        <f t="shared" si="4"/>
        <v>5.7735026918962632E-3</v>
      </c>
      <c r="R34" s="48">
        <f t="shared" si="5"/>
        <v>1.9245008972986687E-3</v>
      </c>
      <c r="S34" s="48">
        <f t="shared" si="6"/>
        <v>2.3190719999999998</v>
      </c>
      <c r="T34" s="48">
        <f t="shared" si="7"/>
        <v>2.3324000000000003</v>
      </c>
      <c r="U34" s="48">
        <f t="shared" si="8"/>
        <v>2.2983660000000001</v>
      </c>
      <c r="V34" s="48">
        <f t="shared" si="9"/>
        <v>2.3166126666666664</v>
      </c>
      <c r="W34" s="48">
        <f t="shared" si="10"/>
        <v>1.2936208966345161E-3</v>
      </c>
      <c r="X34" s="48">
        <f t="shared" si="11"/>
        <v>1.2862287772251756E-3</v>
      </c>
      <c r="Y34" s="48">
        <f t="shared" si="12"/>
        <v>1.3052751389465386E-3</v>
      </c>
      <c r="Z34" s="48">
        <f t="shared" si="13"/>
        <v>1.2950416042687434E-3</v>
      </c>
      <c r="AA34" s="48">
        <f t="shared" si="14"/>
        <v>2.3166126666666664</v>
      </c>
      <c r="AB34" s="48">
        <f t="shared" si="15"/>
        <v>1.2949942142536273E-3</v>
      </c>
      <c r="AC34" s="48">
        <f t="shared" si="16"/>
        <v>1294.9942142536272</v>
      </c>
      <c r="AD34" s="47">
        <f t="shared" si="17"/>
        <v>12.047899177217651</v>
      </c>
      <c r="AE34" s="2"/>
      <c r="AF34" s="2"/>
      <c r="AG34" s="2"/>
      <c r="AH34" s="2"/>
      <c r="AI34" s="2"/>
      <c r="AJ34" s="2"/>
    </row>
    <row r="35" spans="1:36" ht="18.75" x14ac:dyDescent="0.3">
      <c r="A35" s="49" t="s">
        <v>156</v>
      </c>
      <c r="B35" s="49" t="s">
        <v>245</v>
      </c>
      <c r="C35" s="48">
        <v>5.8999999999999999E-3</v>
      </c>
      <c r="D35" s="48">
        <v>2.48</v>
      </c>
      <c r="E35" s="48">
        <v>1.62</v>
      </c>
      <c r="F35" s="48">
        <v>2.38</v>
      </c>
      <c r="G35" s="48">
        <v>2.4700000000000002</v>
      </c>
      <c r="H35" s="48">
        <v>1.61</v>
      </c>
      <c r="I35" s="48">
        <v>2.38</v>
      </c>
      <c r="J35" s="48">
        <v>2.48</v>
      </c>
      <c r="K35" s="48">
        <v>1.61</v>
      </c>
      <c r="L35" s="48">
        <v>2.37</v>
      </c>
      <c r="M35" s="48">
        <f t="shared" ref="M35:M52" si="18">AVERAGE(D35,G35,J35)</f>
        <v>2.4766666666666666</v>
      </c>
      <c r="N35" s="48">
        <f t="shared" ref="N35:N52" si="19">AVERAGE(E35,H35,K35)</f>
        <v>1.6133333333333335</v>
      </c>
      <c r="O35" s="48">
        <f t="shared" ref="O35:O52" si="20">AVERAGE(F35,I35,L35)</f>
        <v>2.3766666666666665</v>
      </c>
      <c r="P35" s="48">
        <f t="shared" ref="P35:P52" si="21">_xlfn.STDEV.S(D35,G35,J35)</f>
        <v>5.7735026918961348E-3</v>
      </c>
      <c r="Q35" s="48">
        <f t="shared" ref="Q35:Q52" si="22">_xlfn.STDEV.S(E35,H35,K35)</f>
        <v>5.7735026918962632E-3</v>
      </c>
      <c r="R35" s="48">
        <f t="shared" ref="R35:R52" si="23">_xlfn.STDEV.S(F35,I35,O35)</f>
        <v>1.9245008972987971E-3</v>
      </c>
      <c r="S35" s="48">
        <f t="shared" ref="S35:S52" si="24">1/2*D35*E35*F35</f>
        <v>4.7809439999999999</v>
      </c>
      <c r="T35" s="48">
        <f t="shared" ref="T35:T52" si="25">1/2*G35*H35*I35</f>
        <v>4.7322730000000002</v>
      </c>
      <c r="U35" s="48">
        <f t="shared" ref="U35:U52" si="26">1/2*J35*K35*L35</f>
        <v>4.7314680000000005</v>
      </c>
      <c r="V35" s="48">
        <f t="shared" ref="V35:V66" si="27">AVERAGE(S35:U35)</f>
        <v>4.7482283333333335</v>
      </c>
      <c r="W35" s="48">
        <f t="shared" ref="W35:W52" si="28">C35/S35</f>
        <v>1.2340659083227077E-3</v>
      </c>
      <c r="X35" s="48">
        <f t="shared" ref="X35:X52" si="29">C35/T35</f>
        <v>1.2467581646282875E-3</v>
      </c>
      <c r="Y35" s="48">
        <f t="shared" ref="Y35:Y52" si="30">C35/U35</f>
        <v>1.2469702849094613E-3</v>
      </c>
      <c r="Z35" s="48">
        <f t="shared" ref="Z35:Z66" si="31">AVERAGE(W35:Y35)</f>
        <v>1.2425981192868191E-3</v>
      </c>
      <c r="AA35" s="48">
        <f t="shared" ref="AA35:AA52" si="32">V35</f>
        <v>4.7482283333333335</v>
      </c>
      <c r="AB35" s="48">
        <f t="shared" ref="AB35:AB66" si="33">C35/AA35</f>
        <v>1.2425687194908136E-3</v>
      </c>
      <c r="AC35" s="48">
        <f t="shared" si="16"/>
        <v>1242.5687194908137</v>
      </c>
      <c r="AD35" s="47">
        <f t="shared" ref="AD35:AD52" si="34">(M35*N35)+(N35*O35)+(M35*O35)+(SQRT(N35^2+M35^2)*O35)</f>
        <v>20.741194257849521</v>
      </c>
      <c r="AE35" s="2"/>
      <c r="AF35" s="2"/>
      <c r="AG35" s="2"/>
      <c r="AH35" s="2"/>
      <c r="AI35" s="2"/>
      <c r="AJ35" s="2"/>
    </row>
    <row r="36" spans="1:36" ht="18.75" x14ac:dyDescent="0.3">
      <c r="A36" s="49" t="s">
        <v>156</v>
      </c>
      <c r="B36" s="49" t="s">
        <v>244</v>
      </c>
      <c r="C36" s="48">
        <v>9.7000000000000003E-3</v>
      </c>
      <c r="D36" s="48">
        <v>3.26</v>
      </c>
      <c r="E36" s="48">
        <v>1.6</v>
      </c>
      <c r="F36" s="48">
        <v>2.84</v>
      </c>
      <c r="G36" s="48">
        <v>3.27</v>
      </c>
      <c r="H36" s="48">
        <v>1.61</v>
      </c>
      <c r="I36" s="48">
        <v>2.84</v>
      </c>
      <c r="J36" s="48">
        <v>3.27</v>
      </c>
      <c r="K36" s="48">
        <v>1.61</v>
      </c>
      <c r="L36" s="48">
        <v>2.84</v>
      </c>
      <c r="M36" s="48">
        <f t="shared" si="18"/>
        <v>3.2666666666666662</v>
      </c>
      <c r="N36" s="48">
        <f t="shared" si="19"/>
        <v>1.6066666666666667</v>
      </c>
      <c r="O36" s="48">
        <f t="shared" si="20"/>
        <v>2.84</v>
      </c>
      <c r="P36" s="48">
        <f t="shared" si="21"/>
        <v>5.7735026918963907E-3</v>
      </c>
      <c r="Q36" s="48">
        <f t="shared" si="22"/>
        <v>5.7735026918962632E-3</v>
      </c>
      <c r="R36" s="48">
        <f t="shared" si="23"/>
        <v>0</v>
      </c>
      <c r="S36" s="48">
        <f t="shared" si="24"/>
        <v>7.40672</v>
      </c>
      <c r="T36" s="48">
        <f t="shared" si="25"/>
        <v>7.4758740000000001</v>
      </c>
      <c r="U36" s="48">
        <f t="shared" si="26"/>
        <v>7.4758740000000001</v>
      </c>
      <c r="V36" s="48">
        <f t="shared" si="27"/>
        <v>7.452822666666667</v>
      </c>
      <c r="W36" s="48">
        <f t="shared" si="28"/>
        <v>1.3096215328782513E-3</v>
      </c>
      <c r="X36" s="48">
        <f t="shared" si="29"/>
        <v>1.2975071543474381E-3</v>
      </c>
      <c r="Y36" s="48">
        <f t="shared" si="30"/>
        <v>1.2975071543474381E-3</v>
      </c>
      <c r="Z36" s="48">
        <f t="shared" si="31"/>
        <v>1.3015452805243757E-3</v>
      </c>
      <c r="AA36" s="48">
        <f t="shared" si="32"/>
        <v>7.452822666666667</v>
      </c>
      <c r="AB36" s="48">
        <f t="shared" si="33"/>
        <v>1.3015203009436962E-3</v>
      </c>
      <c r="AC36" s="48">
        <f t="shared" si="16"/>
        <v>1301.5203009436962</v>
      </c>
      <c r="AD36" s="47">
        <f t="shared" si="34"/>
        <v>29.427438033814028</v>
      </c>
      <c r="AE36" s="2"/>
      <c r="AF36" s="2"/>
      <c r="AG36" s="2"/>
      <c r="AH36" s="2"/>
      <c r="AI36" s="2"/>
      <c r="AJ36" s="2"/>
    </row>
    <row r="37" spans="1:36" ht="18.75" x14ac:dyDescent="0.3">
      <c r="A37" s="49" t="s">
        <v>156</v>
      </c>
      <c r="B37" s="49" t="s">
        <v>243</v>
      </c>
      <c r="C37" s="48">
        <v>8.5000000000000006E-3</v>
      </c>
      <c r="D37" s="48">
        <v>3.49</v>
      </c>
      <c r="E37" s="48">
        <v>3.47</v>
      </c>
      <c r="F37" s="48">
        <v>1.04</v>
      </c>
      <c r="G37" s="48">
        <v>3.48</v>
      </c>
      <c r="H37" s="48">
        <v>3.47</v>
      </c>
      <c r="I37" s="48">
        <v>1.04</v>
      </c>
      <c r="J37" s="48">
        <v>3.48</v>
      </c>
      <c r="K37" s="48">
        <v>3.47</v>
      </c>
      <c r="L37" s="48">
        <v>1.03</v>
      </c>
      <c r="M37" s="48">
        <f t="shared" si="18"/>
        <v>3.4833333333333338</v>
      </c>
      <c r="N37" s="48">
        <f t="shared" si="19"/>
        <v>3.47</v>
      </c>
      <c r="O37" s="48">
        <f t="shared" si="20"/>
        <v>1.0366666666666668</v>
      </c>
      <c r="P37" s="48">
        <f t="shared" si="21"/>
        <v>5.7735026918963907E-3</v>
      </c>
      <c r="Q37" s="48">
        <f t="shared" si="22"/>
        <v>0</v>
      </c>
      <c r="R37" s="48">
        <f t="shared" si="23"/>
        <v>1.9245008972986687E-3</v>
      </c>
      <c r="S37" s="48">
        <f t="shared" si="24"/>
        <v>6.2973560000000015</v>
      </c>
      <c r="T37" s="48">
        <f t="shared" si="25"/>
        <v>6.2793120000000009</v>
      </c>
      <c r="U37" s="48">
        <f t="shared" si="26"/>
        <v>6.2189340000000009</v>
      </c>
      <c r="V37" s="48">
        <f t="shared" si="27"/>
        <v>6.2652006666666678</v>
      </c>
      <c r="W37" s="48">
        <f t="shared" si="28"/>
        <v>1.3497728252936628E-3</v>
      </c>
      <c r="X37" s="48">
        <f t="shared" si="29"/>
        <v>1.3536514828376102E-3</v>
      </c>
      <c r="Y37" s="48">
        <f t="shared" si="30"/>
        <v>1.3667937302438006E-3</v>
      </c>
      <c r="Z37" s="48">
        <f t="shared" si="31"/>
        <v>1.3567393461250245E-3</v>
      </c>
      <c r="AA37" s="48">
        <f t="shared" si="32"/>
        <v>6.2652006666666678</v>
      </c>
      <c r="AB37" s="48">
        <f t="shared" si="33"/>
        <v>1.3567003600097511E-3</v>
      </c>
      <c r="AC37" s="48">
        <v>1261</v>
      </c>
      <c r="AD37" s="47">
        <f t="shared" si="34"/>
        <v>24.392494880472832</v>
      </c>
      <c r="AE37" s="2"/>
      <c r="AF37" s="2"/>
      <c r="AG37" s="2"/>
      <c r="AH37" s="2"/>
      <c r="AI37" s="2"/>
      <c r="AJ37" s="2"/>
    </row>
    <row r="38" spans="1:36" ht="18.75" x14ac:dyDescent="0.3">
      <c r="A38" s="49" t="s">
        <v>156</v>
      </c>
      <c r="B38" s="49" t="s">
        <v>242</v>
      </c>
      <c r="C38" s="48">
        <v>6.1000000000000004E-3</v>
      </c>
      <c r="D38" s="48">
        <v>2.52</v>
      </c>
      <c r="E38" s="48">
        <v>1.6</v>
      </c>
      <c r="F38" s="48">
        <v>2.39</v>
      </c>
      <c r="G38" s="48">
        <v>2.5099999999999998</v>
      </c>
      <c r="H38" s="48">
        <v>1.6</v>
      </c>
      <c r="I38" s="48">
        <v>2.39</v>
      </c>
      <c r="J38" s="48">
        <v>2.5099999999999998</v>
      </c>
      <c r="K38" s="48">
        <v>1.6</v>
      </c>
      <c r="L38" s="48">
        <v>2.39</v>
      </c>
      <c r="M38" s="48">
        <f t="shared" si="18"/>
        <v>2.5133333333333332</v>
      </c>
      <c r="N38" s="48">
        <f t="shared" si="19"/>
        <v>1.6000000000000003</v>
      </c>
      <c r="O38" s="48">
        <f t="shared" si="20"/>
        <v>2.39</v>
      </c>
      <c r="P38" s="48">
        <f t="shared" si="21"/>
        <v>5.7735026918963907E-3</v>
      </c>
      <c r="Q38" s="48">
        <f t="shared" si="22"/>
        <v>2.7194799110210365E-16</v>
      </c>
      <c r="R38" s="48">
        <f t="shared" si="23"/>
        <v>0</v>
      </c>
      <c r="S38" s="48">
        <f t="shared" si="24"/>
        <v>4.8182400000000003</v>
      </c>
      <c r="T38" s="48">
        <f t="shared" si="25"/>
        <v>4.7991200000000003</v>
      </c>
      <c r="U38" s="48">
        <f t="shared" si="26"/>
        <v>4.7991200000000003</v>
      </c>
      <c r="V38" s="48">
        <f t="shared" si="27"/>
        <v>4.8054933333333336</v>
      </c>
      <c r="W38" s="48">
        <f t="shared" si="28"/>
        <v>1.2660224480308163E-3</v>
      </c>
      <c r="X38" s="48">
        <f t="shared" si="29"/>
        <v>1.2710663621663971E-3</v>
      </c>
      <c r="Y38" s="48">
        <f t="shared" si="30"/>
        <v>1.2710663621663971E-3</v>
      </c>
      <c r="Z38" s="48">
        <f t="shared" si="31"/>
        <v>1.2693850574545368E-3</v>
      </c>
      <c r="AA38" s="48">
        <f t="shared" si="32"/>
        <v>4.8054933333333336</v>
      </c>
      <c r="AB38" s="48">
        <f t="shared" si="33"/>
        <v>1.2693805977603409E-3</v>
      </c>
      <c r="AC38" s="48">
        <f>AB38*10^6</f>
        <v>1269.3805977603408</v>
      </c>
      <c r="AD38" s="47">
        <f t="shared" si="34"/>
        <v>20.972974055614397</v>
      </c>
      <c r="AE38" s="2"/>
      <c r="AF38" s="2"/>
      <c r="AG38" s="2"/>
      <c r="AH38" s="2"/>
      <c r="AI38" s="2"/>
      <c r="AJ38" s="2"/>
    </row>
    <row r="39" spans="1:36" ht="18.75" x14ac:dyDescent="0.3">
      <c r="A39" s="49" t="s">
        <v>156</v>
      </c>
      <c r="B39" s="49" t="s">
        <v>241</v>
      </c>
      <c r="C39" s="48">
        <v>4.4000000000000003E-3</v>
      </c>
      <c r="D39" s="48">
        <v>2.4900000000000002</v>
      </c>
      <c r="E39" s="48">
        <v>2.4900000000000002</v>
      </c>
      <c r="F39" s="48">
        <v>1.02</v>
      </c>
      <c r="G39" s="48">
        <v>2.4900000000000002</v>
      </c>
      <c r="H39" s="48">
        <v>2.5</v>
      </c>
      <c r="I39" s="48">
        <v>1.03</v>
      </c>
      <c r="J39" s="48">
        <v>2.48</v>
      </c>
      <c r="K39" s="48">
        <v>2.5</v>
      </c>
      <c r="L39" s="48">
        <v>1.02</v>
      </c>
      <c r="M39" s="48">
        <f t="shared" si="18"/>
        <v>2.4866666666666668</v>
      </c>
      <c r="N39" s="48">
        <f t="shared" si="19"/>
        <v>2.4966666666666666</v>
      </c>
      <c r="O39" s="48">
        <f t="shared" si="20"/>
        <v>1.0233333333333332</v>
      </c>
      <c r="P39" s="48">
        <f t="shared" si="21"/>
        <v>5.7735026918963907E-3</v>
      </c>
      <c r="Q39" s="48">
        <f t="shared" si="22"/>
        <v>5.7735026918961348E-3</v>
      </c>
      <c r="R39" s="48">
        <f t="shared" si="23"/>
        <v>5.091750772173176E-3</v>
      </c>
      <c r="S39" s="48">
        <f t="shared" si="24"/>
        <v>3.1620510000000004</v>
      </c>
      <c r="T39" s="48">
        <f t="shared" si="25"/>
        <v>3.2058750000000003</v>
      </c>
      <c r="U39" s="48">
        <f t="shared" si="26"/>
        <v>3.1620000000000004</v>
      </c>
      <c r="V39" s="48">
        <f t="shared" si="27"/>
        <v>3.1766420000000006</v>
      </c>
      <c r="W39" s="48">
        <f t="shared" si="28"/>
        <v>1.3915019080969913E-3</v>
      </c>
      <c r="X39" s="48">
        <f t="shared" si="29"/>
        <v>1.3724802121105782E-3</v>
      </c>
      <c r="Y39" s="48">
        <f t="shared" si="30"/>
        <v>1.3915243516761542E-3</v>
      </c>
      <c r="Z39" s="48">
        <f t="shared" si="31"/>
        <v>1.3851688239612412E-3</v>
      </c>
      <c r="AA39" s="48">
        <f t="shared" si="32"/>
        <v>3.1766420000000006</v>
      </c>
      <c r="AB39" s="48">
        <f t="shared" si="33"/>
        <v>1.3851104405217835E-3</v>
      </c>
      <c r="AC39" s="48">
        <v>1261</v>
      </c>
      <c r="AD39" s="47">
        <f t="shared" si="34"/>
        <v>14.913965747222772</v>
      </c>
      <c r="AE39" s="2"/>
      <c r="AF39" s="2"/>
      <c r="AG39" s="2"/>
      <c r="AH39" s="2"/>
      <c r="AI39" s="2"/>
      <c r="AJ39" s="2"/>
    </row>
    <row r="40" spans="1:36" ht="18.75" x14ac:dyDescent="0.3">
      <c r="A40" s="49" t="s">
        <v>156</v>
      </c>
      <c r="B40" s="49" t="s">
        <v>240</v>
      </c>
      <c r="C40" s="48">
        <v>4.7000000000000002E-3</v>
      </c>
      <c r="D40" s="48">
        <v>4.42</v>
      </c>
      <c r="E40" s="48">
        <v>1.69</v>
      </c>
      <c r="F40" s="48">
        <v>1</v>
      </c>
      <c r="G40" s="48">
        <v>4.42</v>
      </c>
      <c r="H40" s="48">
        <v>1.69</v>
      </c>
      <c r="I40" s="48">
        <v>1.03</v>
      </c>
      <c r="J40" s="48">
        <v>4.43</v>
      </c>
      <c r="K40" s="48">
        <v>1.68</v>
      </c>
      <c r="L40" s="48">
        <v>1.03</v>
      </c>
      <c r="M40" s="48">
        <f t="shared" si="18"/>
        <v>4.4233333333333329</v>
      </c>
      <c r="N40" s="48">
        <f t="shared" si="19"/>
        <v>1.6866666666666665</v>
      </c>
      <c r="O40" s="48">
        <f t="shared" si="20"/>
        <v>1.0200000000000002</v>
      </c>
      <c r="P40" s="48">
        <f t="shared" si="21"/>
        <v>5.7735026918961348E-3</v>
      </c>
      <c r="Q40" s="48">
        <f t="shared" si="22"/>
        <v>5.7735026918962632E-3</v>
      </c>
      <c r="R40" s="48">
        <f t="shared" si="23"/>
        <v>1.5275252316519505E-2</v>
      </c>
      <c r="S40" s="48">
        <f t="shared" si="24"/>
        <v>3.7348999999999997</v>
      </c>
      <c r="T40" s="48">
        <f t="shared" si="25"/>
        <v>3.8469469999999997</v>
      </c>
      <c r="U40" s="48">
        <f t="shared" si="26"/>
        <v>3.8328359999999999</v>
      </c>
      <c r="V40" s="48">
        <f t="shared" si="27"/>
        <v>3.8048943333333334</v>
      </c>
      <c r="W40" s="48">
        <f t="shared" si="28"/>
        <v>1.2584004926504057E-3</v>
      </c>
      <c r="X40" s="48">
        <f t="shared" si="29"/>
        <v>1.2217480511168988E-3</v>
      </c>
      <c r="Y40" s="48">
        <f t="shared" si="30"/>
        <v>1.2262460486177859E-3</v>
      </c>
      <c r="Z40" s="48">
        <f t="shared" si="31"/>
        <v>1.2354648641283634E-3</v>
      </c>
      <c r="AA40" s="48">
        <f t="shared" si="32"/>
        <v>3.8048943333333334</v>
      </c>
      <c r="AB40" s="48">
        <f t="shared" si="33"/>
        <v>1.2352511234871787E-3</v>
      </c>
      <c r="AC40" s="48">
        <f>AB40*10^6</f>
        <v>1235.2511234871788</v>
      </c>
      <c r="AD40" s="47">
        <f t="shared" si="34"/>
        <v>18.521565249963423</v>
      </c>
      <c r="AE40" s="2"/>
      <c r="AF40" s="2"/>
      <c r="AG40" s="2"/>
      <c r="AH40" s="2"/>
      <c r="AI40" s="2"/>
      <c r="AJ40" s="2"/>
    </row>
    <row r="41" spans="1:36" ht="18.75" x14ac:dyDescent="0.3">
      <c r="A41" s="49" t="s">
        <v>156</v>
      </c>
      <c r="B41" s="49" t="s">
        <v>239</v>
      </c>
      <c r="C41" s="48">
        <v>4.1999999999999997E-3</v>
      </c>
      <c r="D41" s="48">
        <v>2.4900000000000002</v>
      </c>
      <c r="E41" s="48">
        <v>2.5099999999999998</v>
      </c>
      <c r="F41" s="48">
        <v>1.06</v>
      </c>
      <c r="G41" s="48">
        <v>2.4900000000000002</v>
      </c>
      <c r="H41" s="48">
        <v>2.5</v>
      </c>
      <c r="I41" s="48">
        <v>1.06</v>
      </c>
      <c r="J41" s="48">
        <v>2.5</v>
      </c>
      <c r="K41" s="48">
        <v>2.52</v>
      </c>
      <c r="L41" s="48">
        <v>1.06</v>
      </c>
      <c r="M41" s="48">
        <f t="shared" si="18"/>
        <v>2.4933333333333336</v>
      </c>
      <c r="N41" s="48">
        <f t="shared" si="19"/>
        <v>2.5099999999999998</v>
      </c>
      <c r="O41" s="48">
        <f t="shared" si="20"/>
        <v>1.06</v>
      </c>
      <c r="P41" s="48">
        <f t="shared" si="21"/>
        <v>5.7735026918961348E-3</v>
      </c>
      <c r="Q41" s="48">
        <f t="shared" si="22"/>
        <v>1.0000000000000009E-2</v>
      </c>
      <c r="R41" s="48">
        <f t="shared" si="23"/>
        <v>0</v>
      </c>
      <c r="S41" s="48">
        <f t="shared" si="24"/>
        <v>3.3124470000000001</v>
      </c>
      <c r="T41" s="48">
        <f t="shared" si="25"/>
        <v>3.2992500000000002</v>
      </c>
      <c r="U41" s="48">
        <f t="shared" si="26"/>
        <v>3.339</v>
      </c>
      <c r="V41" s="48">
        <f t="shared" si="27"/>
        <v>3.3168989999999998</v>
      </c>
      <c r="W41" s="48">
        <f t="shared" si="28"/>
        <v>1.2679448154189333E-3</v>
      </c>
      <c r="X41" s="48">
        <f t="shared" si="29"/>
        <v>1.2730165946806091E-3</v>
      </c>
      <c r="Y41" s="48">
        <f t="shared" si="30"/>
        <v>1.2578616352201257E-3</v>
      </c>
      <c r="Z41" s="48">
        <f t="shared" si="31"/>
        <v>1.2662743484398893E-3</v>
      </c>
      <c r="AA41" s="48">
        <f t="shared" si="32"/>
        <v>3.3168989999999998</v>
      </c>
      <c r="AB41" s="48">
        <f t="shared" si="33"/>
        <v>1.2662429576541221E-3</v>
      </c>
      <c r="AC41" s="48">
        <f>AB41*10^6</f>
        <v>1266.2429576541222</v>
      </c>
      <c r="AD41" s="47">
        <f t="shared" si="34"/>
        <v>15.311985190686514</v>
      </c>
      <c r="AE41" s="2"/>
      <c r="AF41" s="2"/>
      <c r="AG41" s="2"/>
      <c r="AH41" s="2"/>
      <c r="AI41" s="2"/>
      <c r="AJ41" s="2"/>
    </row>
    <row r="42" spans="1:36" ht="18.75" x14ac:dyDescent="0.3">
      <c r="A42" s="49" t="s">
        <v>156</v>
      </c>
      <c r="B42" s="49" t="s">
        <v>238</v>
      </c>
      <c r="C42" s="48">
        <v>9.1999999999999998E-3</v>
      </c>
      <c r="D42" s="48">
        <v>3.31</v>
      </c>
      <c r="E42" s="48">
        <v>1.7</v>
      </c>
      <c r="F42" s="48">
        <v>2.86</v>
      </c>
      <c r="G42" s="48">
        <v>3.33</v>
      </c>
      <c r="H42" s="48">
        <v>1.68</v>
      </c>
      <c r="I42" s="48">
        <v>2.85</v>
      </c>
      <c r="J42" s="48">
        <v>3.32</v>
      </c>
      <c r="K42" s="48">
        <v>1.68</v>
      </c>
      <c r="L42" s="48">
        <v>2.85</v>
      </c>
      <c r="M42" s="48">
        <f t="shared" si="18"/>
        <v>3.3200000000000003</v>
      </c>
      <c r="N42" s="48">
        <f t="shared" si="19"/>
        <v>1.6866666666666665</v>
      </c>
      <c r="O42" s="48">
        <f t="shared" si="20"/>
        <v>2.8533333333333335</v>
      </c>
      <c r="P42" s="48">
        <f t="shared" si="21"/>
        <v>1.0000000000000009E-2</v>
      </c>
      <c r="Q42" s="48">
        <f t="shared" si="22"/>
        <v>1.1547005383792525E-2</v>
      </c>
      <c r="R42" s="48">
        <f t="shared" si="23"/>
        <v>5.0917507721730312E-3</v>
      </c>
      <c r="S42" s="48">
        <f t="shared" si="24"/>
        <v>8.0466099999999994</v>
      </c>
      <c r="T42" s="48">
        <f t="shared" si="25"/>
        <v>7.9720200000000006</v>
      </c>
      <c r="U42" s="48">
        <f t="shared" si="26"/>
        <v>7.9480799999999991</v>
      </c>
      <c r="V42" s="48">
        <f t="shared" si="27"/>
        <v>7.988903333333333</v>
      </c>
      <c r="W42" s="48">
        <f t="shared" si="28"/>
        <v>1.1433386233457321E-3</v>
      </c>
      <c r="X42" s="48">
        <f t="shared" si="29"/>
        <v>1.1540362417555398E-3</v>
      </c>
      <c r="Y42" s="48">
        <f t="shared" si="30"/>
        <v>1.1575122545319121E-3</v>
      </c>
      <c r="Z42" s="48">
        <f t="shared" si="31"/>
        <v>1.151629039877728E-3</v>
      </c>
      <c r="AA42" s="48">
        <f t="shared" si="32"/>
        <v>7.988903333333333</v>
      </c>
      <c r="AB42" s="48">
        <f t="shared" si="33"/>
        <v>1.1515973615068569E-3</v>
      </c>
      <c r="AC42" s="48">
        <f>AB42*10^6</f>
        <v>1151.5973615068569</v>
      </c>
      <c r="AD42" s="47">
        <f t="shared" si="34"/>
        <v>30.510878670061928</v>
      </c>
      <c r="AE42" s="2"/>
      <c r="AF42" s="2"/>
      <c r="AG42" s="2"/>
      <c r="AH42" s="2"/>
      <c r="AI42" s="2"/>
      <c r="AJ42" s="2"/>
    </row>
    <row r="43" spans="1:36" ht="18.75" x14ac:dyDescent="0.3">
      <c r="A43" s="49" t="s">
        <v>156</v>
      </c>
      <c r="B43" s="49" t="s">
        <v>237</v>
      </c>
      <c r="C43" s="48">
        <v>1.41E-2</v>
      </c>
      <c r="D43" s="48">
        <v>4.25</v>
      </c>
      <c r="E43" s="48">
        <v>1.6</v>
      </c>
      <c r="F43" s="48">
        <v>2.83</v>
      </c>
      <c r="G43" s="48">
        <v>4.26</v>
      </c>
      <c r="H43" s="48">
        <v>1.59</v>
      </c>
      <c r="I43" s="48">
        <v>2.82</v>
      </c>
      <c r="J43" s="48">
        <v>4.25</v>
      </c>
      <c r="K43" s="48">
        <v>1.63</v>
      </c>
      <c r="L43" s="48">
        <v>2.82</v>
      </c>
      <c r="M43" s="48">
        <f t="shared" si="18"/>
        <v>4.253333333333333</v>
      </c>
      <c r="N43" s="48">
        <f t="shared" si="19"/>
        <v>1.6066666666666667</v>
      </c>
      <c r="O43" s="48">
        <f t="shared" si="20"/>
        <v>2.8233333333333337</v>
      </c>
      <c r="P43" s="48">
        <f t="shared" si="21"/>
        <v>5.7735026918961348E-3</v>
      </c>
      <c r="Q43" s="48">
        <f t="shared" si="22"/>
        <v>2.0816659994661223E-2</v>
      </c>
      <c r="R43" s="48">
        <f t="shared" si="23"/>
        <v>5.0917507721732246E-3</v>
      </c>
      <c r="S43" s="48">
        <f t="shared" si="24"/>
        <v>9.6220000000000017</v>
      </c>
      <c r="T43" s="48">
        <f t="shared" si="25"/>
        <v>9.5504939999999987</v>
      </c>
      <c r="U43" s="48">
        <f t="shared" si="26"/>
        <v>9.7677749999999985</v>
      </c>
      <c r="V43" s="48">
        <f t="shared" si="27"/>
        <v>9.6467563333333342</v>
      </c>
      <c r="W43" s="48">
        <f t="shared" si="28"/>
        <v>1.4653918104344209E-3</v>
      </c>
      <c r="X43" s="48">
        <f t="shared" si="29"/>
        <v>1.476363421619866E-3</v>
      </c>
      <c r="Y43" s="48">
        <f t="shared" si="30"/>
        <v>1.4435221941537352E-3</v>
      </c>
      <c r="Z43" s="48">
        <f t="shared" si="31"/>
        <v>1.4617591420693406E-3</v>
      </c>
      <c r="AA43" s="48">
        <f t="shared" si="32"/>
        <v>9.6467563333333342</v>
      </c>
      <c r="AB43" s="48">
        <f t="shared" si="33"/>
        <v>1.461631196309889E-3</v>
      </c>
      <c r="AC43" s="48">
        <v>1261</v>
      </c>
      <c r="AD43" s="47">
        <f t="shared" si="34"/>
        <v>36.215191577053517</v>
      </c>
    </row>
    <row r="44" spans="1:36" ht="18.75" x14ac:dyDescent="0.3">
      <c r="A44" s="49" t="s">
        <v>156</v>
      </c>
      <c r="B44" s="49" t="s">
        <v>236</v>
      </c>
      <c r="C44" s="48">
        <v>1.0999999999999999E-2</v>
      </c>
      <c r="D44" s="48">
        <v>2.46</v>
      </c>
      <c r="E44" s="48">
        <v>2.38</v>
      </c>
      <c r="F44" s="48">
        <v>2.85</v>
      </c>
      <c r="G44" s="48">
        <v>2.4700000000000002</v>
      </c>
      <c r="H44" s="48">
        <v>2.4</v>
      </c>
      <c r="I44" s="48">
        <v>2.86</v>
      </c>
      <c r="J44" s="48">
        <v>2.4700000000000002</v>
      </c>
      <c r="K44" s="48">
        <v>2.38</v>
      </c>
      <c r="L44" s="48">
        <v>2.86</v>
      </c>
      <c r="M44" s="48">
        <f t="shared" si="18"/>
        <v>2.4666666666666668</v>
      </c>
      <c r="N44" s="48">
        <f t="shared" si="19"/>
        <v>2.3866666666666663</v>
      </c>
      <c r="O44" s="48">
        <f t="shared" si="20"/>
        <v>2.8566666666666669</v>
      </c>
      <c r="P44" s="48">
        <f t="shared" si="21"/>
        <v>5.7735026918963907E-3</v>
      </c>
      <c r="Q44" s="48">
        <f t="shared" si="22"/>
        <v>1.1547005383792526E-2</v>
      </c>
      <c r="R44" s="48">
        <f t="shared" si="23"/>
        <v>5.0917507721730789E-3</v>
      </c>
      <c r="S44" s="48">
        <f t="shared" si="24"/>
        <v>8.3430900000000001</v>
      </c>
      <c r="T44" s="48">
        <f t="shared" si="25"/>
        <v>8.4770399999999988</v>
      </c>
      <c r="U44" s="48">
        <f t="shared" si="26"/>
        <v>8.4063980000000011</v>
      </c>
      <c r="V44" s="48">
        <f t="shared" si="27"/>
        <v>8.4088426666666667</v>
      </c>
      <c r="W44" s="48">
        <f t="shared" si="28"/>
        <v>1.3184563513038933E-3</v>
      </c>
      <c r="X44" s="48">
        <f t="shared" si="29"/>
        <v>1.2976227551126337E-3</v>
      </c>
      <c r="Y44" s="48">
        <f t="shared" si="30"/>
        <v>1.3085271480127395E-3</v>
      </c>
      <c r="Z44" s="48">
        <f t="shared" si="31"/>
        <v>1.3082020848097554E-3</v>
      </c>
      <c r="AA44" s="48">
        <f t="shared" si="32"/>
        <v>8.4088426666666667</v>
      </c>
      <c r="AB44" s="48">
        <f t="shared" si="33"/>
        <v>1.3081467255422546E-3</v>
      </c>
      <c r="AC44" s="48">
        <f t="shared" ref="AC44:AC52" si="35">AB44*10^6</f>
        <v>1308.1467255422547</v>
      </c>
      <c r="AD44" s="47">
        <f t="shared" si="34"/>
        <v>29.55637825360381</v>
      </c>
    </row>
    <row r="45" spans="1:36" ht="18.75" x14ac:dyDescent="0.3">
      <c r="A45" s="49" t="s">
        <v>156</v>
      </c>
      <c r="B45" s="49" t="s">
        <v>235</v>
      </c>
      <c r="C45" s="48">
        <v>8.0000000000000002E-3</v>
      </c>
      <c r="D45" s="48">
        <v>3.41</v>
      </c>
      <c r="E45" s="48">
        <v>3.54</v>
      </c>
      <c r="F45" s="48">
        <v>1.0900000000000001</v>
      </c>
      <c r="G45" s="48">
        <v>3.44</v>
      </c>
      <c r="H45" s="48">
        <v>3.53</v>
      </c>
      <c r="I45" s="48">
        <v>1.0900000000000001</v>
      </c>
      <c r="J45" s="48">
        <v>3.41</v>
      </c>
      <c r="K45" s="48">
        <v>3.53</v>
      </c>
      <c r="L45" s="48">
        <v>1.07</v>
      </c>
      <c r="M45" s="48">
        <f t="shared" si="18"/>
        <v>3.42</v>
      </c>
      <c r="N45" s="48">
        <f t="shared" si="19"/>
        <v>3.5333333333333332</v>
      </c>
      <c r="O45" s="48">
        <f t="shared" si="20"/>
        <v>1.0833333333333333</v>
      </c>
      <c r="P45" s="48">
        <f t="shared" si="21"/>
        <v>1.7320508075688659E-2</v>
      </c>
      <c r="Q45" s="48">
        <f t="shared" si="22"/>
        <v>5.7735026918963907E-3</v>
      </c>
      <c r="R45" s="48">
        <f t="shared" si="23"/>
        <v>3.8490017945975942E-3</v>
      </c>
      <c r="S45" s="48">
        <f t="shared" si="24"/>
        <v>6.5789130000000009</v>
      </c>
      <c r="T45" s="48">
        <f t="shared" si="25"/>
        <v>6.6180439999999994</v>
      </c>
      <c r="U45" s="48">
        <f t="shared" si="26"/>
        <v>6.4399555000000008</v>
      </c>
      <c r="V45" s="48">
        <f t="shared" si="27"/>
        <v>6.5456375000000007</v>
      </c>
      <c r="W45" s="48">
        <f t="shared" si="28"/>
        <v>1.2160063524171848E-3</v>
      </c>
      <c r="X45" s="48">
        <f t="shared" si="29"/>
        <v>1.2088163813960744E-3</v>
      </c>
      <c r="Y45" s="48">
        <f t="shared" si="30"/>
        <v>1.2422446086778082E-3</v>
      </c>
      <c r="Z45" s="48">
        <f t="shared" si="31"/>
        <v>1.2223557808303559E-3</v>
      </c>
      <c r="AA45" s="48">
        <f t="shared" si="32"/>
        <v>6.5456375000000007</v>
      </c>
      <c r="AB45" s="48">
        <f t="shared" si="33"/>
        <v>1.2221880603684515E-3</v>
      </c>
      <c r="AC45" s="48">
        <f t="shared" si="35"/>
        <v>1222.1880603684515</v>
      </c>
      <c r="AD45" s="47">
        <f t="shared" si="34"/>
        <v>24.943963499718528</v>
      </c>
    </row>
    <row r="46" spans="1:36" ht="18.75" x14ac:dyDescent="0.3">
      <c r="A46" s="49" t="s">
        <v>156</v>
      </c>
      <c r="B46" s="49" t="s">
        <v>234</v>
      </c>
      <c r="C46" s="48">
        <v>6.1999999999999998E-3</v>
      </c>
      <c r="D46" s="48">
        <v>1.68</v>
      </c>
      <c r="E46" s="48">
        <v>2.4300000000000002</v>
      </c>
      <c r="F46" s="48">
        <v>2.37</v>
      </c>
      <c r="G46" s="48">
        <v>1.65</v>
      </c>
      <c r="H46" s="48">
        <v>2.44</v>
      </c>
      <c r="I46" s="48">
        <v>2.37</v>
      </c>
      <c r="J46" s="48">
        <v>1.66</v>
      </c>
      <c r="K46" s="48">
        <v>2.44</v>
      </c>
      <c r="L46" s="48">
        <v>2.35</v>
      </c>
      <c r="M46" s="48">
        <f t="shared" si="18"/>
        <v>1.6633333333333333</v>
      </c>
      <c r="N46" s="48">
        <f t="shared" si="19"/>
        <v>2.436666666666667</v>
      </c>
      <c r="O46" s="48">
        <f t="shared" si="20"/>
        <v>2.3633333333333333</v>
      </c>
      <c r="P46" s="48">
        <f t="shared" si="21"/>
        <v>1.527525231651948E-2</v>
      </c>
      <c r="Q46" s="48">
        <f t="shared" si="22"/>
        <v>5.7735026918961348E-3</v>
      </c>
      <c r="R46" s="48">
        <f t="shared" si="23"/>
        <v>3.8490017945975942E-3</v>
      </c>
      <c r="S46" s="48">
        <f t="shared" si="24"/>
        <v>4.8376440000000001</v>
      </c>
      <c r="T46" s="48">
        <f t="shared" si="25"/>
        <v>4.77081</v>
      </c>
      <c r="U46" s="48">
        <f t="shared" si="26"/>
        <v>4.75922</v>
      </c>
      <c r="V46" s="48">
        <f t="shared" si="27"/>
        <v>4.7892246666666667</v>
      </c>
      <c r="W46" s="48">
        <f t="shared" si="28"/>
        <v>1.2816155963522738E-3</v>
      </c>
      <c r="X46" s="48">
        <f t="shared" si="29"/>
        <v>1.2995696747512477E-3</v>
      </c>
      <c r="Y46" s="48">
        <f t="shared" si="30"/>
        <v>1.3027344817007828E-3</v>
      </c>
      <c r="Z46" s="48">
        <f t="shared" si="31"/>
        <v>1.2946399176014347E-3</v>
      </c>
      <c r="AA46" s="48">
        <f t="shared" si="32"/>
        <v>4.7892246666666667</v>
      </c>
      <c r="AB46" s="48">
        <f t="shared" si="33"/>
        <v>1.2945728028071906E-3</v>
      </c>
      <c r="AC46" s="48">
        <f t="shared" si="35"/>
        <v>1294.5728028071906</v>
      </c>
      <c r="AD46" s="47">
        <f t="shared" si="34"/>
        <v>20.715098611128681</v>
      </c>
    </row>
    <row r="47" spans="1:36" ht="18.75" x14ac:dyDescent="0.3">
      <c r="A47" s="49" t="s">
        <v>156</v>
      </c>
      <c r="B47" s="49" t="s">
        <v>233</v>
      </c>
      <c r="C47" s="48">
        <v>9.9000000000000008E-3</v>
      </c>
      <c r="D47" s="48">
        <v>1.61</v>
      </c>
      <c r="E47" s="48">
        <v>4.18</v>
      </c>
      <c r="F47" s="48">
        <v>2.34</v>
      </c>
      <c r="G47" s="48">
        <v>1.59</v>
      </c>
      <c r="H47" s="48">
        <v>4.2</v>
      </c>
      <c r="I47" s="48">
        <v>2.34</v>
      </c>
      <c r="J47" s="48">
        <v>1.61</v>
      </c>
      <c r="K47" s="48">
        <v>4.18</v>
      </c>
      <c r="L47" s="48">
        <v>2.33</v>
      </c>
      <c r="M47" s="48">
        <f t="shared" si="18"/>
        <v>1.6033333333333335</v>
      </c>
      <c r="N47" s="48">
        <f t="shared" si="19"/>
        <v>4.1866666666666665</v>
      </c>
      <c r="O47" s="48">
        <f t="shared" si="20"/>
        <v>2.3366666666666664</v>
      </c>
      <c r="P47" s="48">
        <f t="shared" si="21"/>
        <v>1.1547005383792525E-2</v>
      </c>
      <c r="Q47" s="48">
        <f t="shared" si="22"/>
        <v>1.1547005383792781E-2</v>
      </c>
      <c r="R47" s="48">
        <f t="shared" si="23"/>
        <v>1.9245008972987969E-3</v>
      </c>
      <c r="S47" s="48">
        <f t="shared" si="24"/>
        <v>7.8738659999999996</v>
      </c>
      <c r="T47" s="48">
        <f t="shared" si="25"/>
        <v>7.8132600000000005</v>
      </c>
      <c r="U47" s="48">
        <f t="shared" si="26"/>
        <v>7.840217</v>
      </c>
      <c r="V47" s="48">
        <f t="shared" si="27"/>
        <v>7.8424476666666658</v>
      </c>
      <c r="W47" s="48">
        <f t="shared" si="28"/>
        <v>1.2573239117861545E-3</v>
      </c>
      <c r="X47" s="48">
        <f t="shared" si="29"/>
        <v>1.2670767387748521E-3</v>
      </c>
      <c r="Y47" s="48">
        <f t="shared" si="30"/>
        <v>1.2627201517509019E-3</v>
      </c>
      <c r="Z47" s="48">
        <f t="shared" si="31"/>
        <v>1.2623736007706362E-3</v>
      </c>
      <c r="AA47" s="48">
        <f t="shared" si="32"/>
        <v>7.8424476666666658</v>
      </c>
      <c r="AB47" s="48">
        <f t="shared" si="33"/>
        <v>1.2623609899341378E-3</v>
      </c>
      <c r="AC47" s="48">
        <f t="shared" si="35"/>
        <v>1262.3609899341379</v>
      </c>
      <c r="AD47" s="47">
        <f t="shared" si="34"/>
        <v>30.717607147512339</v>
      </c>
    </row>
    <row r="48" spans="1:36" ht="18.75" x14ac:dyDescent="0.3">
      <c r="A48" s="49" t="s">
        <v>156</v>
      </c>
      <c r="B48" s="49" t="s">
        <v>232</v>
      </c>
      <c r="C48" s="48">
        <v>1.21E-2</v>
      </c>
      <c r="D48" s="48">
        <v>4.26</v>
      </c>
      <c r="E48" s="48">
        <v>1.63</v>
      </c>
      <c r="F48" s="48">
        <v>2.84</v>
      </c>
      <c r="G48" s="48">
        <v>4.2699999999999996</v>
      </c>
      <c r="H48" s="48">
        <v>1.66</v>
      </c>
      <c r="I48" s="48">
        <v>2.83</v>
      </c>
      <c r="J48" s="48">
        <v>4.26</v>
      </c>
      <c r="K48" s="48">
        <v>1.65</v>
      </c>
      <c r="L48" s="48">
        <v>2.84</v>
      </c>
      <c r="M48" s="48">
        <f t="shared" si="18"/>
        <v>4.2633333333333328</v>
      </c>
      <c r="N48" s="48">
        <f t="shared" si="19"/>
        <v>1.6466666666666665</v>
      </c>
      <c r="O48" s="48">
        <f t="shared" si="20"/>
        <v>2.8366666666666664</v>
      </c>
      <c r="P48" s="48">
        <f t="shared" si="21"/>
        <v>5.7735026918961348E-3</v>
      </c>
      <c r="Q48" s="48">
        <f t="shared" si="22"/>
        <v>1.527525231651948E-2</v>
      </c>
      <c r="R48" s="48">
        <f t="shared" si="23"/>
        <v>5.0917507721730303E-3</v>
      </c>
      <c r="S48" s="48">
        <f t="shared" si="24"/>
        <v>9.8601959999999984</v>
      </c>
      <c r="T48" s="48">
        <f t="shared" si="25"/>
        <v>10.029802999999998</v>
      </c>
      <c r="U48" s="48">
        <f t="shared" si="26"/>
        <v>9.9811799999999984</v>
      </c>
      <c r="V48" s="48">
        <f t="shared" si="27"/>
        <v>9.9570596666666642</v>
      </c>
      <c r="W48" s="48">
        <f t="shared" si="28"/>
        <v>1.227156133610326E-3</v>
      </c>
      <c r="X48" s="48">
        <f t="shared" si="29"/>
        <v>1.2064045525121483E-3</v>
      </c>
      <c r="Y48" s="48">
        <f t="shared" si="30"/>
        <v>1.2122815138089886E-3</v>
      </c>
      <c r="Z48" s="48">
        <f t="shared" si="31"/>
        <v>1.2152807333104876E-3</v>
      </c>
      <c r="AA48" s="48">
        <f t="shared" si="32"/>
        <v>9.9570596666666642</v>
      </c>
      <c r="AB48" s="48">
        <f t="shared" si="33"/>
        <v>1.2152181874039859E-3</v>
      </c>
      <c r="AC48" s="48">
        <f t="shared" si="35"/>
        <v>1215.2181874039859</v>
      </c>
      <c r="AD48" s="47">
        <f t="shared" si="34"/>
        <v>36.749369356091897</v>
      </c>
    </row>
    <row r="49" spans="1:30" ht="18.75" x14ac:dyDescent="0.3">
      <c r="A49" s="49" t="s">
        <v>156</v>
      </c>
      <c r="B49" s="49" t="s">
        <v>231</v>
      </c>
      <c r="C49" s="48">
        <v>4.0000000000000001E-3</v>
      </c>
      <c r="D49" s="48">
        <v>1.5</v>
      </c>
      <c r="E49" s="48">
        <v>1.46</v>
      </c>
      <c r="F49" s="48">
        <v>2.85</v>
      </c>
      <c r="G49" s="48">
        <v>1.51</v>
      </c>
      <c r="H49" s="48">
        <v>1.46</v>
      </c>
      <c r="I49" s="48">
        <v>2.85</v>
      </c>
      <c r="J49" s="48">
        <v>1.49</v>
      </c>
      <c r="K49" s="48">
        <v>1.47</v>
      </c>
      <c r="L49" s="48">
        <v>2.85</v>
      </c>
      <c r="M49" s="48">
        <f t="shared" si="18"/>
        <v>1.5</v>
      </c>
      <c r="N49" s="48">
        <f t="shared" si="19"/>
        <v>1.4633333333333332</v>
      </c>
      <c r="O49" s="48">
        <f t="shared" si="20"/>
        <v>2.85</v>
      </c>
      <c r="P49" s="48">
        <f t="shared" si="21"/>
        <v>1.0000000000000009E-2</v>
      </c>
      <c r="Q49" s="48">
        <f t="shared" si="22"/>
        <v>5.7735026918962632E-3</v>
      </c>
      <c r="R49" s="48">
        <f t="shared" si="23"/>
        <v>0</v>
      </c>
      <c r="S49" s="48">
        <f t="shared" si="24"/>
        <v>3.1207500000000001</v>
      </c>
      <c r="T49" s="48">
        <f t="shared" si="25"/>
        <v>3.1415550000000003</v>
      </c>
      <c r="U49" s="48">
        <f t="shared" si="26"/>
        <v>3.1211775000000004</v>
      </c>
      <c r="V49" s="48">
        <f t="shared" si="27"/>
        <v>3.1278275000000004</v>
      </c>
      <c r="W49" s="48">
        <f t="shared" si="28"/>
        <v>1.2817431707121685E-3</v>
      </c>
      <c r="X49" s="48">
        <f t="shared" si="29"/>
        <v>1.2732548053432137E-3</v>
      </c>
      <c r="Y49" s="48">
        <f t="shared" si="30"/>
        <v>1.2815676135048389E-3</v>
      </c>
      <c r="Z49" s="48">
        <f t="shared" si="31"/>
        <v>1.2788551965200736E-3</v>
      </c>
      <c r="AA49" s="48">
        <f t="shared" si="32"/>
        <v>3.1278275000000004</v>
      </c>
      <c r="AB49" s="48">
        <f t="shared" si="33"/>
        <v>1.2788429029414186E-3</v>
      </c>
      <c r="AC49" s="48">
        <f t="shared" si="35"/>
        <v>1278.8429029414185</v>
      </c>
      <c r="AD49" s="47">
        <f t="shared" si="34"/>
        <v>16.612827456695587</v>
      </c>
    </row>
    <row r="50" spans="1:30" ht="18.75" x14ac:dyDescent="0.3">
      <c r="A50" s="49" t="s">
        <v>156</v>
      </c>
      <c r="B50" s="49" t="s">
        <v>230</v>
      </c>
      <c r="C50" s="48">
        <v>1.1900000000000001E-2</v>
      </c>
      <c r="D50" s="48">
        <v>1.66</v>
      </c>
      <c r="E50" s="48">
        <v>4.09</v>
      </c>
      <c r="F50" s="48">
        <v>2.83</v>
      </c>
      <c r="G50" s="48">
        <v>1.65</v>
      </c>
      <c r="H50" s="48">
        <v>4.08</v>
      </c>
      <c r="I50" s="48">
        <v>2.83</v>
      </c>
      <c r="J50" s="48">
        <v>1.65</v>
      </c>
      <c r="K50" s="48">
        <v>4.0999999999999996</v>
      </c>
      <c r="L50" s="48">
        <v>2.83</v>
      </c>
      <c r="M50" s="48">
        <f t="shared" si="18"/>
        <v>1.6533333333333331</v>
      </c>
      <c r="N50" s="48">
        <f t="shared" si="19"/>
        <v>4.09</v>
      </c>
      <c r="O50" s="48">
        <f t="shared" si="20"/>
        <v>2.83</v>
      </c>
      <c r="P50" s="48">
        <f t="shared" si="21"/>
        <v>5.7735026918962632E-3</v>
      </c>
      <c r="Q50" s="48">
        <f t="shared" si="22"/>
        <v>9.9999999999997868E-3</v>
      </c>
      <c r="R50" s="48">
        <f t="shared" si="23"/>
        <v>0</v>
      </c>
      <c r="S50" s="48">
        <f t="shared" si="24"/>
        <v>9.6070010000000003</v>
      </c>
      <c r="T50" s="48">
        <f t="shared" si="25"/>
        <v>9.5257799999999992</v>
      </c>
      <c r="U50" s="48">
        <f t="shared" si="26"/>
        <v>9.572474999999999</v>
      </c>
      <c r="V50" s="48">
        <f t="shared" si="27"/>
        <v>9.5684186666666662</v>
      </c>
      <c r="W50" s="48">
        <f t="shared" si="28"/>
        <v>1.2386800001373999E-3</v>
      </c>
      <c r="X50" s="48">
        <f t="shared" si="29"/>
        <v>1.2492415319270444E-3</v>
      </c>
      <c r="Y50" s="48">
        <f t="shared" si="30"/>
        <v>1.2431476707956931E-3</v>
      </c>
      <c r="Z50" s="48">
        <f t="shared" si="31"/>
        <v>1.2436897342867125E-3</v>
      </c>
      <c r="AA50" s="48">
        <f t="shared" si="32"/>
        <v>9.5684186666666662</v>
      </c>
      <c r="AB50" s="48">
        <f t="shared" si="33"/>
        <v>1.2436746775573088E-3</v>
      </c>
      <c r="AC50" s="48">
        <f t="shared" si="35"/>
        <v>1243.6746775573088</v>
      </c>
      <c r="AD50" s="47">
        <f t="shared" si="34"/>
        <v>35.500401111766678</v>
      </c>
    </row>
    <row r="51" spans="1:30" ht="18.75" x14ac:dyDescent="0.3">
      <c r="A51" s="49" t="s">
        <v>156</v>
      </c>
      <c r="B51" s="49" t="s">
        <v>229</v>
      </c>
      <c r="C51" s="48">
        <v>1.0800000000000001E-2</v>
      </c>
      <c r="D51" s="48">
        <v>2.5</v>
      </c>
      <c r="E51" s="48">
        <v>2.5</v>
      </c>
      <c r="F51" s="48">
        <v>2.86</v>
      </c>
      <c r="G51" s="48">
        <v>2.5</v>
      </c>
      <c r="H51" s="48">
        <v>2.4900000000000002</v>
      </c>
      <c r="I51" s="48">
        <v>2.84</v>
      </c>
      <c r="J51" s="48">
        <v>2.4900000000000002</v>
      </c>
      <c r="K51" s="48">
        <v>2.4900000000000002</v>
      </c>
      <c r="L51" s="48">
        <v>2.86</v>
      </c>
      <c r="M51" s="48">
        <f t="shared" si="18"/>
        <v>2.4966666666666666</v>
      </c>
      <c r="N51" s="48">
        <f t="shared" si="19"/>
        <v>2.4933333333333336</v>
      </c>
      <c r="O51" s="48">
        <f t="shared" si="20"/>
        <v>2.8533333333333331</v>
      </c>
      <c r="P51" s="48">
        <f t="shared" si="21"/>
        <v>5.7735026918961348E-3</v>
      </c>
      <c r="Q51" s="48">
        <f t="shared" si="22"/>
        <v>5.7735026918961348E-3</v>
      </c>
      <c r="R51" s="48">
        <f t="shared" si="23"/>
        <v>1.0183501544346305E-2</v>
      </c>
      <c r="S51" s="48">
        <f t="shared" si="24"/>
        <v>8.9375</v>
      </c>
      <c r="T51" s="48">
        <f t="shared" si="25"/>
        <v>8.839500000000001</v>
      </c>
      <c r="U51" s="48">
        <f t="shared" si="26"/>
        <v>8.866143000000001</v>
      </c>
      <c r="V51" s="48">
        <f t="shared" si="27"/>
        <v>8.8810476666666673</v>
      </c>
      <c r="W51" s="48">
        <f t="shared" si="28"/>
        <v>1.2083916083916084E-3</v>
      </c>
      <c r="X51" s="48">
        <f t="shared" si="29"/>
        <v>1.2217885627015103E-3</v>
      </c>
      <c r="Y51" s="48">
        <f t="shared" si="30"/>
        <v>1.2181170549583962E-3</v>
      </c>
      <c r="Z51" s="48">
        <f t="shared" si="31"/>
        <v>1.2160990753505049E-3</v>
      </c>
      <c r="AA51" s="48">
        <f t="shared" si="32"/>
        <v>8.8810476666666673</v>
      </c>
      <c r="AB51" s="48">
        <f t="shared" si="33"/>
        <v>1.2160727433696541E-3</v>
      </c>
      <c r="AC51" s="48">
        <f t="shared" si="35"/>
        <v>1216.0727433696541</v>
      </c>
      <c r="AD51" s="47">
        <f t="shared" si="34"/>
        <v>30.531038433276478</v>
      </c>
    </row>
    <row r="52" spans="1:30" ht="18.75" x14ac:dyDescent="0.3">
      <c r="A52" s="49" t="s">
        <v>156</v>
      </c>
      <c r="B52" s="49" t="s">
        <v>228</v>
      </c>
      <c r="C52" s="48">
        <v>9.7000000000000003E-3</v>
      </c>
      <c r="D52" s="48">
        <v>4.07</v>
      </c>
      <c r="E52" s="48">
        <v>1.63</v>
      </c>
      <c r="F52" s="48">
        <v>2.35</v>
      </c>
      <c r="G52" s="48">
        <v>4.0599999999999996</v>
      </c>
      <c r="H52" s="48">
        <v>1.62</v>
      </c>
      <c r="I52" s="48">
        <v>2.34</v>
      </c>
      <c r="J52" s="48">
        <v>4.05</v>
      </c>
      <c r="K52" s="48">
        <v>1.62</v>
      </c>
      <c r="L52" s="48">
        <v>2.35</v>
      </c>
      <c r="M52" s="48">
        <f t="shared" si="18"/>
        <v>4.0599999999999996</v>
      </c>
      <c r="N52" s="48">
        <f t="shared" si="19"/>
        <v>1.6233333333333333</v>
      </c>
      <c r="O52" s="48">
        <f t="shared" si="20"/>
        <v>2.3466666666666662</v>
      </c>
      <c r="P52" s="48">
        <f t="shared" si="21"/>
        <v>1.0000000000000231E-2</v>
      </c>
      <c r="Q52" s="48">
        <f t="shared" si="22"/>
        <v>5.7735026918961348E-3</v>
      </c>
      <c r="R52" s="48">
        <f t="shared" si="23"/>
        <v>5.0917507721732246E-3</v>
      </c>
      <c r="S52" s="48">
        <f t="shared" si="24"/>
        <v>7.7950675</v>
      </c>
      <c r="T52" s="48">
        <f t="shared" si="25"/>
        <v>7.6953239999999985</v>
      </c>
      <c r="U52" s="48">
        <f t="shared" si="26"/>
        <v>7.7091750000000001</v>
      </c>
      <c r="V52" s="48">
        <f t="shared" si="27"/>
        <v>7.7331888333333323</v>
      </c>
      <c r="W52" s="48">
        <f t="shared" si="28"/>
        <v>1.2443766522868469E-3</v>
      </c>
      <c r="X52" s="48">
        <f t="shared" si="29"/>
        <v>1.2605057304929594E-3</v>
      </c>
      <c r="Y52" s="48">
        <f t="shared" si="30"/>
        <v>1.2582409920646504E-3</v>
      </c>
      <c r="Z52" s="48">
        <f t="shared" si="31"/>
        <v>1.2543744582814854E-3</v>
      </c>
      <c r="AA52" s="48">
        <f t="shared" si="32"/>
        <v>7.7331888333333323</v>
      </c>
      <c r="AB52" s="48">
        <f t="shared" si="33"/>
        <v>1.254333782486841E-3</v>
      </c>
      <c r="AC52" s="48">
        <f t="shared" si="35"/>
        <v>1254.3337824868411</v>
      </c>
      <c r="AD52" s="47">
        <f t="shared" si="34"/>
        <v>30.188436943851535</v>
      </c>
    </row>
    <row r="53" spans="1:30" ht="18.75" x14ac:dyDescent="0.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</row>
    <row r="54" spans="1:30" ht="18.75" x14ac:dyDescent="0.3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</row>
    <row r="55" spans="1:30" ht="18.75" x14ac:dyDescent="0.3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</row>
    <row r="56" spans="1:30" ht="18.75" x14ac:dyDescent="0.3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</row>
    <row r="57" spans="1:30" ht="18.75" x14ac:dyDescent="0.3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</row>
    <row r="58" spans="1:30" ht="18.75" x14ac:dyDescent="0.3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</row>
    <row r="59" spans="1:30" ht="18.75" x14ac:dyDescent="0.3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</row>
    <row r="60" spans="1:30" ht="18.75" x14ac:dyDescent="0.3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</row>
    <row r="61" spans="1:30" ht="18.75" x14ac:dyDescent="0.3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</row>
    <row r="62" spans="1:30" ht="18.75" x14ac:dyDescent="0.3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</row>
    <row r="63" spans="1:30" ht="18.75" x14ac:dyDescent="0.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</row>
    <row r="64" spans="1:30" ht="18.75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</row>
    <row r="65" spans="1:22" ht="18.75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</row>
    <row r="66" spans="1:22" ht="18.75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</row>
    <row r="67" spans="1:22" ht="18.75" x14ac:dyDescent="0.3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</row>
    <row r="68" spans="1:22" ht="18.75" x14ac:dyDescent="0.3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</row>
    <row r="69" spans="1:22" ht="18.75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</row>
    <row r="70" spans="1:22" ht="18.75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</row>
    <row r="71" spans="1:22" ht="18.75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</row>
    <row r="72" spans="1:22" ht="18.75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</row>
    <row r="73" spans="1:22" ht="18.75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</row>
    <row r="74" spans="1:22" ht="18.75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</row>
    <row r="75" spans="1:22" ht="18.75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</row>
    <row r="76" spans="1:22" ht="18.75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</row>
    <row r="77" spans="1:22" ht="18.75" x14ac:dyDescent="0.3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</row>
    <row r="78" spans="1:22" ht="18.75" x14ac:dyDescent="0.3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</row>
    <row r="79" spans="1:22" ht="18.75" x14ac:dyDescent="0.3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</row>
    <row r="80" spans="1:22" ht="18.75" x14ac:dyDescent="0.3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</row>
    <row r="81" spans="1:22" ht="18.75" x14ac:dyDescent="0.3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</row>
    <row r="82" spans="1:22" ht="18.75" x14ac:dyDescent="0.3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</row>
    <row r="83" spans="1:22" ht="18.75" x14ac:dyDescent="0.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</row>
    <row r="84" spans="1:22" ht="18.75" x14ac:dyDescent="0.3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</row>
    <row r="85" spans="1:22" ht="18.75" x14ac:dyDescent="0.3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</row>
    <row r="86" spans="1:22" ht="18.75" x14ac:dyDescent="0.3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</row>
    <row r="87" spans="1:22" ht="18.75" x14ac:dyDescent="0.3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</row>
    <row r="88" spans="1:22" ht="18.75" x14ac:dyDescent="0.3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</row>
    <row r="89" spans="1:22" ht="18.75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</row>
    <row r="90" spans="1:22" ht="18.75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</row>
    <row r="91" spans="1:22" ht="18.75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</row>
    <row r="92" spans="1:22" ht="18.75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</row>
    <row r="93" spans="1:22" ht="18.75" x14ac:dyDescent="0.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</row>
    <row r="94" spans="1:22" ht="18.75" x14ac:dyDescent="0.3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</row>
    <row r="95" spans="1:22" ht="18.75" x14ac:dyDescent="0.3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</row>
    <row r="96" spans="1:22" ht="18.75" x14ac:dyDescent="0.3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</row>
    <row r="97" spans="1:22" ht="18.75" x14ac:dyDescent="0.3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</row>
    <row r="98" spans="1:22" ht="18.75" x14ac:dyDescent="0.3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</row>
    <row r="99" spans="1:22" ht="18.75" x14ac:dyDescent="0.3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</row>
    <row r="100" spans="1:22" ht="18.75" x14ac:dyDescent="0.3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</row>
    <row r="101" spans="1:22" ht="18.75" x14ac:dyDescent="0.3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</row>
    <row r="102" spans="1:22" ht="18.75" x14ac:dyDescent="0.3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</row>
    <row r="103" spans="1:22" ht="18.75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</row>
    <row r="104" spans="1:22" ht="18.75" x14ac:dyDescent="0.3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</row>
    <row r="105" spans="1:22" ht="18.75" x14ac:dyDescent="0.3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</row>
    <row r="106" spans="1:22" ht="18.75" x14ac:dyDescent="0.3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</row>
    <row r="107" spans="1:22" ht="18.75" x14ac:dyDescent="0.3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</row>
    <row r="108" spans="1:22" ht="18.75" x14ac:dyDescent="0.3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</row>
    <row r="109" spans="1:22" ht="18.75" x14ac:dyDescent="0.3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</row>
    <row r="110" spans="1:22" ht="18.75" x14ac:dyDescent="0.3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</row>
  </sheetData>
  <mergeCells count="5">
    <mergeCell ref="P1:R1"/>
    <mergeCell ref="M1:O1"/>
    <mergeCell ref="J1:L1"/>
    <mergeCell ref="D1:F1"/>
    <mergeCell ref="G1:I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394C0-D147-4CEC-BDD2-D91D06886B3E}">
  <dimension ref="A1:AF63"/>
  <sheetViews>
    <sheetView topLeftCell="W1" workbookViewId="0">
      <selection activeCell="AC29" sqref="AC29"/>
    </sheetView>
  </sheetViews>
  <sheetFormatPr defaultRowHeight="15.75" x14ac:dyDescent="0.25"/>
  <cols>
    <col min="1" max="30" width="26.7109375" style="53" customWidth="1"/>
    <col min="31" max="31" width="38.5703125" style="52" customWidth="1"/>
    <col min="32" max="32" width="12" style="52" bestFit="1" customWidth="1"/>
    <col min="33" max="16384" width="9.140625" style="52"/>
  </cols>
  <sheetData>
    <row r="1" spans="1:32" x14ac:dyDescent="0.25">
      <c r="A1" s="56"/>
      <c r="B1" s="56"/>
      <c r="C1" s="56"/>
      <c r="D1" s="77" t="s">
        <v>0</v>
      </c>
      <c r="E1" s="77"/>
      <c r="F1" s="77"/>
      <c r="G1" s="77" t="s">
        <v>1</v>
      </c>
      <c r="H1" s="77"/>
      <c r="I1" s="77"/>
      <c r="J1" s="77" t="s">
        <v>2</v>
      </c>
      <c r="K1" s="77"/>
      <c r="L1" s="77"/>
      <c r="M1" s="77" t="s">
        <v>3</v>
      </c>
      <c r="N1" s="77"/>
      <c r="O1" s="77"/>
      <c r="P1" s="77" t="s">
        <v>4</v>
      </c>
      <c r="Q1" s="77"/>
      <c r="R1" s="77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</row>
    <row r="2" spans="1:32" x14ac:dyDescent="0.25">
      <c r="A2" s="60" t="s">
        <v>6</v>
      </c>
      <c r="B2" s="60" t="s">
        <v>7</v>
      </c>
      <c r="C2" s="60" t="s">
        <v>8</v>
      </c>
      <c r="D2" s="60" t="s">
        <v>57</v>
      </c>
      <c r="E2" s="60" t="s">
        <v>336</v>
      </c>
      <c r="F2" s="60" t="s">
        <v>58</v>
      </c>
      <c r="G2" s="60" t="s">
        <v>9</v>
      </c>
      <c r="H2" s="60" t="s">
        <v>337</v>
      </c>
      <c r="I2" s="60" t="s">
        <v>10</v>
      </c>
      <c r="J2" s="60" t="s">
        <v>9</v>
      </c>
      <c r="K2" s="60" t="s">
        <v>337</v>
      </c>
      <c r="L2" s="60" t="s">
        <v>10</v>
      </c>
      <c r="M2" s="60" t="s">
        <v>57</v>
      </c>
      <c r="N2" s="60" t="s">
        <v>336</v>
      </c>
      <c r="O2" s="60" t="s">
        <v>58</v>
      </c>
      <c r="P2" s="60" t="s">
        <v>57</v>
      </c>
      <c r="Q2" s="60" t="s">
        <v>336</v>
      </c>
      <c r="R2" s="60" t="s">
        <v>58</v>
      </c>
      <c r="S2" s="60" t="s">
        <v>14</v>
      </c>
      <c r="T2" s="60" t="s">
        <v>15</v>
      </c>
      <c r="U2" s="60" t="s">
        <v>16</v>
      </c>
      <c r="V2" s="60" t="s">
        <v>17</v>
      </c>
      <c r="W2" s="60" t="s">
        <v>18</v>
      </c>
      <c r="X2" s="60" t="s">
        <v>19</v>
      </c>
      <c r="Y2" s="60" t="s">
        <v>20</v>
      </c>
      <c r="Z2" s="60" t="s">
        <v>21</v>
      </c>
      <c r="AA2" s="60" t="s">
        <v>17</v>
      </c>
      <c r="AB2" s="60" t="s">
        <v>22</v>
      </c>
      <c r="AC2" s="60" t="s">
        <v>23</v>
      </c>
      <c r="AD2" s="59" t="s">
        <v>154</v>
      </c>
      <c r="AE2" s="58"/>
      <c r="AF2" s="57"/>
    </row>
    <row r="3" spans="1:32" x14ac:dyDescent="0.25">
      <c r="A3" s="56" t="s">
        <v>156</v>
      </c>
      <c r="B3" s="56" t="s">
        <v>335</v>
      </c>
      <c r="C3" s="56">
        <v>2.2700000000000001E-2</v>
      </c>
      <c r="D3" s="56">
        <v>4.78</v>
      </c>
      <c r="E3" s="56">
        <v>2.33</v>
      </c>
      <c r="F3" s="56">
        <v>2.31</v>
      </c>
      <c r="G3" s="56">
        <v>4.79</v>
      </c>
      <c r="H3" s="56">
        <v>2.33</v>
      </c>
      <c r="I3" s="56">
        <v>2.31</v>
      </c>
      <c r="J3" s="56">
        <v>4.78</v>
      </c>
      <c r="K3" s="56">
        <v>2.3199999999999998</v>
      </c>
      <c r="L3" s="56">
        <v>2.2999999999999998</v>
      </c>
      <c r="M3" s="56">
        <f t="shared" ref="M3:M34" si="0">AVERAGE(D3,G3,J3)</f>
        <v>4.7833333333333341</v>
      </c>
      <c r="N3" s="56">
        <f t="shared" ref="N3:N34" si="1">AVERAGE(E3,H3,K3)</f>
        <v>2.3266666666666667</v>
      </c>
      <c r="O3" s="56">
        <f t="shared" ref="O3:O34" si="2">AVERAGE(F3,I3,L3)</f>
        <v>2.3066666666666666</v>
      </c>
      <c r="P3" s="56">
        <f t="shared" ref="P3:P34" si="3">_xlfn.STDEV.S(D3,G3,J3)</f>
        <v>5.7735026918961348E-3</v>
      </c>
      <c r="Q3" s="56">
        <f t="shared" ref="Q3:Q34" si="4">_xlfn.STDEV.S(E3,H3,K3)</f>
        <v>5.7735026918963907E-3</v>
      </c>
      <c r="R3" s="56">
        <f t="shared" ref="R3:R34" si="5">_xlfn.STDEV.S(F3,I3,L3)</f>
        <v>5.7735026918963907E-3</v>
      </c>
      <c r="S3" s="56">
        <f t="shared" ref="S3:S34" si="6">PI()*((D3/2)*E3)/2*F3</f>
        <v>20.206247996602531</v>
      </c>
      <c r="T3" s="56">
        <f t="shared" ref="T3:T34" si="7">PI()*((G3/2)*H3)/2*I3</f>
        <v>20.248520481951072</v>
      </c>
      <c r="U3" s="56">
        <f t="shared" ref="U3:U34" si="8">PI()*((J3/2)*K3)/2*L3</f>
        <v>20.032428387468382</v>
      </c>
      <c r="V3" s="56">
        <f t="shared" ref="V3:V34" si="9">AVERAGE(S3:U3)</f>
        <v>20.162398955340663</v>
      </c>
      <c r="W3" s="56">
        <f t="shared" ref="W3:W34" si="10">C3/S3</f>
        <v>1.1234148964130682E-3</v>
      </c>
      <c r="X3" s="56">
        <f t="shared" ref="X3:X34" si="11">C3/T3</f>
        <v>1.1210695626000973E-3</v>
      </c>
      <c r="Y3" s="56">
        <f t="shared" ref="Y3:Y34" si="12">C3/U3</f>
        <v>1.1331626680967128E-3</v>
      </c>
      <c r="Z3" s="56">
        <f t="shared" ref="Z3:Z34" si="13">AVERAGE(W3:Y3)</f>
        <v>1.1258823757032928E-3</v>
      </c>
      <c r="AA3" s="56">
        <f t="shared" ref="AA3:AA34" si="14">V3</f>
        <v>20.162398955340663</v>
      </c>
      <c r="AB3" s="56">
        <f t="shared" ref="AB3:AB34" si="15">C3/AA3</f>
        <v>1.1258580911071186E-3</v>
      </c>
      <c r="AC3" s="56">
        <f t="shared" ref="AC3:AC34" si="16">AB3*10^6</f>
        <v>1125.8580911071185</v>
      </c>
      <c r="AD3" s="55">
        <f t="shared" ref="AD3:AD34" si="17">((2*PI()*N3^2)+(2*PI()*N3*O3))/2</f>
        <v>33.867066937398768</v>
      </c>
    </row>
    <row r="4" spans="1:32" x14ac:dyDescent="0.25">
      <c r="A4" s="56" t="s">
        <v>156</v>
      </c>
      <c r="B4" s="56" t="s">
        <v>334</v>
      </c>
      <c r="C4" s="56">
        <v>2.7799999999999998E-2</v>
      </c>
      <c r="D4" s="56">
        <v>4.75</v>
      </c>
      <c r="E4" s="56">
        <v>2.3199999999999998</v>
      </c>
      <c r="F4" s="56">
        <v>2.88</v>
      </c>
      <c r="G4" s="56">
        <v>4.7699999999999996</v>
      </c>
      <c r="H4" s="56">
        <v>2.2999999999999998</v>
      </c>
      <c r="I4" s="56">
        <v>2.87</v>
      </c>
      <c r="J4" s="56">
        <v>4.78</v>
      </c>
      <c r="K4" s="56">
        <v>2.31</v>
      </c>
      <c r="L4" s="56">
        <v>2.88</v>
      </c>
      <c r="M4" s="56">
        <f t="shared" si="0"/>
        <v>4.7666666666666666</v>
      </c>
      <c r="N4" s="56">
        <f t="shared" si="1"/>
        <v>2.31</v>
      </c>
      <c r="O4" s="56">
        <f t="shared" si="2"/>
        <v>2.8766666666666665</v>
      </c>
      <c r="P4" s="56">
        <f t="shared" si="3"/>
        <v>1.5275252316519529E-2</v>
      </c>
      <c r="Q4" s="56">
        <f t="shared" si="4"/>
        <v>1.0000000000000009E-2</v>
      </c>
      <c r="R4" s="56">
        <f t="shared" si="5"/>
        <v>5.7735026918961348E-3</v>
      </c>
      <c r="S4" s="56">
        <f t="shared" si="6"/>
        <v>24.926652750642852</v>
      </c>
      <c r="T4" s="56">
        <f t="shared" si="7"/>
        <v>24.729651329317868</v>
      </c>
      <c r="U4" s="56">
        <f t="shared" si="8"/>
        <v>24.975963188933601</v>
      </c>
      <c r="V4" s="56">
        <f t="shared" si="9"/>
        <v>24.877422422964774</v>
      </c>
      <c r="W4" s="56">
        <f t="shared" si="10"/>
        <v>1.115272085590515E-3</v>
      </c>
      <c r="X4" s="56">
        <f t="shared" si="11"/>
        <v>1.1241565693666745E-3</v>
      </c>
      <c r="Y4" s="56">
        <f t="shared" si="12"/>
        <v>1.1130701863108798E-3</v>
      </c>
      <c r="Z4" s="56">
        <f t="shared" si="13"/>
        <v>1.1174996137560231E-3</v>
      </c>
      <c r="AA4" s="56">
        <f t="shared" si="14"/>
        <v>24.877422422964774</v>
      </c>
      <c r="AB4" s="56">
        <f t="shared" si="15"/>
        <v>1.1174791152936063E-3</v>
      </c>
      <c r="AC4" s="56">
        <f t="shared" si="16"/>
        <v>1117.4791152936064</v>
      </c>
      <c r="AD4" s="55">
        <f t="shared" si="17"/>
        <v>37.640049901190025</v>
      </c>
    </row>
    <row r="5" spans="1:32" x14ac:dyDescent="0.25">
      <c r="A5" s="56" t="s">
        <v>156</v>
      </c>
      <c r="B5" s="56" t="s">
        <v>333</v>
      </c>
      <c r="C5" s="56">
        <v>2.2800000000000001E-2</v>
      </c>
      <c r="D5" s="56">
        <v>4.7300000000000004</v>
      </c>
      <c r="E5" s="56">
        <v>2.38</v>
      </c>
      <c r="F5" s="56">
        <v>2.33</v>
      </c>
      <c r="G5" s="56">
        <v>4.7</v>
      </c>
      <c r="H5" s="56">
        <v>2.36</v>
      </c>
      <c r="I5" s="56">
        <v>2.33</v>
      </c>
      <c r="J5" s="56">
        <v>4.7300000000000004</v>
      </c>
      <c r="K5" s="56">
        <v>2.35</v>
      </c>
      <c r="L5" s="56">
        <v>2.31</v>
      </c>
      <c r="M5" s="56">
        <f t="shared" si="0"/>
        <v>4.72</v>
      </c>
      <c r="N5" s="56">
        <f t="shared" si="1"/>
        <v>2.3633333333333333</v>
      </c>
      <c r="O5" s="56">
        <f t="shared" si="2"/>
        <v>2.3233333333333337</v>
      </c>
      <c r="P5" s="56">
        <f t="shared" si="3"/>
        <v>1.7320508075688915E-2</v>
      </c>
      <c r="Q5" s="56">
        <f t="shared" si="4"/>
        <v>1.5275252316519385E-2</v>
      </c>
      <c r="R5" s="56">
        <f t="shared" si="5"/>
        <v>1.1547005383792526E-2</v>
      </c>
      <c r="S5" s="56">
        <f t="shared" si="6"/>
        <v>20.600791193188911</v>
      </c>
      <c r="T5" s="56">
        <f t="shared" si="7"/>
        <v>20.298112878182476</v>
      </c>
      <c r="U5" s="56">
        <f t="shared" si="8"/>
        <v>20.166515488914417</v>
      </c>
      <c r="V5" s="56">
        <f t="shared" si="9"/>
        <v>20.3551398534286</v>
      </c>
      <c r="W5" s="56">
        <f t="shared" si="10"/>
        <v>1.1067536089360587E-3</v>
      </c>
      <c r="X5" s="56">
        <f t="shared" si="11"/>
        <v>1.1232571292135582E-3</v>
      </c>
      <c r="Y5" s="56">
        <f t="shared" si="12"/>
        <v>1.130586987748737E-3</v>
      </c>
      <c r="Z5" s="56">
        <f t="shared" si="13"/>
        <v>1.120199241966118E-3</v>
      </c>
      <c r="AA5" s="56">
        <f t="shared" si="14"/>
        <v>20.3551398534286</v>
      </c>
      <c r="AB5" s="56">
        <f t="shared" si="15"/>
        <v>1.1201102111887279E-3</v>
      </c>
      <c r="AC5" s="56">
        <f t="shared" si="16"/>
        <v>1120.1102111887278</v>
      </c>
      <c r="AD5" s="55">
        <f t="shared" si="17"/>
        <v>34.796768923351109</v>
      </c>
    </row>
    <row r="6" spans="1:32" x14ac:dyDescent="0.25">
      <c r="A6" s="56" t="s">
        <v>156</v>
      </c>
      <c r="B6" s="56" t="s">
        <v>332</v>
      </c>
      <c r="C6" s="56">
        <v>2.86E-2</v>
      </c>
      <c r="D6" s="56">
        <v>4.76</v>
      </c>
      <c r="E6" s="56">
        <v>2.2799999999999998</v>
      </c>
      <c r="F6" s="56">
        <v>2.9</v>
      </c>
      <c r="G6" s="56">
        <v>4.76</v>
      </c>
      <c r="H6" s="56">
        <v>2.27</v>
      </c>
      <c r="I6" s="56">
        <v>2.89</v>
      </c>
      <c r="J6" s="56">
        <v>4.78</v>
      </c>
      <c r="K6" s="56">
        <v>2.27</v>
      </c>
      <c r="L6" s="56">
        <v>2.89</v>
      </c>
      <c r="M6" s="56">
        <f t="shared" si="0"/>
        <v>4.7666666666666666</v>
      </c>
      <c r="N6" s="56">
        <f t="shared" si="1"/>
        <v>2.2733333333333334</v>
      </c>
      <c r="O6" s="56">
        <f t="shared" si="2"/>
        <v>2.8933333333333331</v>
      </c>
      <c r="P6" s="56">
        <f t="shared" si="3"/>
        <v>1.1547005383792781E-2</v>
      </c>
      <c r="Q6" s="56">
        <f t="shared" si="4"/>
        <v>5.7735026918961348E-3</v>
      </c>
      <c r="R6" s="56">
        <f t="shared" si="5"/>
        <v>5.7735026918961348E-3</v>
      </c>
      <c r="S6" s="56">
        <f t="shared" si="6"/>
        <v>24.718930644387491</v>
      </c>
      <c r="T6" s="56">
        <f t="shared" si="7"/>
        <v>24.525650439560692</v>
      </c>
      <c r="U6" s="56">
        <f t="shared" si="8"/>
        <v>24.628699390987421</v>
      </c>
      <c r="V6" s="56">
        <f t="shared" si="9"/>
        <v>24.624426824978531</v>
      </c>
      <c r="W6" s="56">
        <f t="shared" si="10"/>
        <v>1.1570079794893441E-3</v>
      </c>
      <c r="X6" s="56">
        <f t="shared" si="11"/>
        <v>1.1661260552693537E-3</v>
      </c>
      <c r="Y6" s="56">
        <f t="shared" si="12"/>
        <v>1.1612468667535822E-3</v>
      </c>
      <c r="Z6" s="56">
        <f t="shared" si="13"/>
        <v>1.1614603005040934E-3</v>
      </c>
      <c r="AA6" s="56">
        <f t="shared" si="14"/>
        <v>24.624426824978531</v>
      </c>
      <c r="AB6" s="56">
        <f t="shared" si="15"/>
        <v>1.1614483538349297E-3</v>
      </c>
      <c r="AC6" s="56">
        <f t="shared" si="16"/>
        <v>1161.4483538349298</v>
      </c>
      <c r="AD6" s="55">
        <f t="shared" si="17"/>
        <v>36.899751045664118</v>
      </c>
    </row>
    <row r="7" spans="1:32" x14ac:dyDescent="0.25">
      <c r="A7" s="56" t="s">
        <v>156</v>
      </c>
      <c r="B7" s="56" t="s">
        <v>331</v>
      </c>
      <c r="C7" s="56">
        <v>2.2800000000000001E-2</v>
      </c>
      <c r="D7" s="56">
        <v>4.66</v>
      </c>
      <c r="E7" s="56">
        <v>2.2599999999999998</v>
      </c>
      <c r="F7" s="56">
        <v>2.35</v>
      </c>
      <c r="G7" s="56">
        <v>4.66</v>
      </c>
      <c r="H7" s="56">
        <v>2.2599999999999998</v>
      </c>
      <c r="I7" s="56">
        <v>2.35</v>
      </c>
      <c r="J7" s="56">
        <v>4.66</v>
      </c>
      <c r="K7" s="56">
        <v>2.2599999999999998</v>
      </c>
      <c r="L7" s="56">
        <v>2.34</v>
      </c>
      <c r="M7" s="56">
        <f t="shared" si="0"/>
        <v>4.66</v>
      </c>
      <c r="N7" s="56">
        <f t="shared" si="1"/>
        <v>2.2599999999999998</v>
      </c>
      <c r="O7" s="56">
        <f t="shared" si="2"/>
        <v>2.3466666666666667</v>
      </c>
      <c r="P7" s="56">
        <f t="shared" si="3"/>
        <v>0</v>
      </c>
      <c r="Q7" s="56">
        <f t="shared" si="4"/>
        <v>0</v>
      </c>
      <c r="R7" s="56">
        <f t="shared" si="5"/>
        <v>5.7735026918963907E-3</v>
      </c>
      <c r="S7" s="56">
        <f t="shared" si="6"/>
        <v>19.438023349445931</v>
      </c>
      <c r="T7" s="56">
        <f t="shared" si="7"/>
        <v>19.438023349445931</v>
      </c>
      <c r="U7" s="56">
        <f t="shared" si="8"/>
        <v>19.355308356469564</v>
      </c>
      <c r="V7" s="56">
        <f t="shared" si="9"/>
        <v>19.410451685120474</v>
      </c>
      <c r="W7" s="56">
        <f t="shared" si="10"/>
        <v>1.1729587720991138E-3</v>
      </c>
      <c r="X7" s="56">
        <f t="shared" si="11"/>
        <v>1.1729587720991138E-3</v>
      </c>
      <c r="Y7" s="56">
        <f t="shared" si="12"/>
        <v>1.1779714164243237E-3</v>
      </c>
      <c r="Z7" s="56">
        <f t="shared" si="13"/>
        <v>1.1746296535408505E-3</v>
      </c>
      <c r="AA7" s="56">
        <f t="shared" si="14"/>
        <v>19.410451685120474</v>
      </c>
      <c r="AB7" s="56">
        <f t="shared" si="15"/>
        <v>1.1746249067185728E-3</v>
      </c>
      <c r="AC7" s="56">
        <f t="shared" si="16"/>
        <v>1174.6249067185729</v>
      </c>
      <c r="AD7" s="55">
        <f t="shared" si="17"/>
        <v>32.707330556033568</v>
      </c>
    </row>
    <row r="8" spans="1:32" x14ac:dyDescent="0.25">
      <c r="A8" s="56" t="s">
        <v>156</v>
      </c>
      <c r="B8" s="56" t="s">
        <v>330</v>
      </c>
      <c r="C8" s="56">
        <v>2.8299999999999999E-2</v>
      </c>
      <c r="D8" s="56">
        <v>4.79</v>
      </c>
      <c r="E8" s="56">
        <v>2.3199999999999998</v>
      </c>
      <c r="F8" s="56">
        <v>2.88</v>
      </c>
      <c r="G8" s="56">
        <v>4.8</v>
      </c>
      <c r="H8" s="56">
        <v>2.31</v>
      </c>
      <c r="I8" s="56">
        <v>2.87</v>
      </c>
      <c r="J8" s="56">
        <v>4.8</v>
      </c>
      <c r="K8" s="56">
        <v>2.3199999999999998</v>
      </c>
      <c r="L8" s="56">
        <v>2.88</v>
      </c>
      <c r="M8" s="56">
        <f t="shared" si="0"/>
        <v>4.7966666666666669</v>
      </c>
      <c r="N8" s="56">
        <f t="shared" si="1"/>
        <v>2.3166666666666664</v>
      </c>
      <c r="O8" s="56">
        <f t="shared" si="2"/>
        <v>2.8766666666666665</v>
      </c>
      <c r="P8" s="56">
        <f t="shared" si="3"/>
        <v>5.7735026918961348E-3</v>
      </c>
      <c r="Q8" s="56">
        <f t="shared" si="4"/>
        <v>5.7735026918961348E-3</v>
      </c>
      <c r="R8" s="56">
        <f t="shared" si="5"/>
        <v>5.7735026918961348E-3</v>
      </c>
      <c r="S8" s="56">
        <f t="shared" si="6"/>
        <v>25.136561405385109</v>
      </c>
      <c r="T8" s="56">
        <f t="shared" si="7"/>
        <v>24.993380178605104</v>
      </c>
      <c r="U8" s="56">
        <f t="shared" si="8"/>
        <v>25.189038569070672</v>
      </c>
      <c r="V8" s="56">
        <f t="shared" si="9"/>
        <v>25.106326717686965</v>
      </c>
      <c r="W8" s="56">
        <f t="shared" si="10"/>
        <v>1.1258500931609992E-3</v>
      </c>
      <c r="X8" s="56">
        <f t="shared" si="11"/>
        <v>1.1322998249042534E-3</v>
      </c>
      <c r="Y8" s="56">
        <f t="shared" si="12"/>
        <v>1.1235045721335803E-3</v>
      </c>
      <c r="Z8" s="56">
        <f t="shared" si="13"/>
        <v>1.1272181633996108E-3</v>
      </c>
      <c r="AA8" s="56">
        <f t="shared" si="14"/>
        <v>25.106326717686965</v>
      </c>
      <c r="AB8" s="56">
        <f t="shared" si="15"/>
        <v>1.1272059157926575E-3</v>
      </c>
      <c r="AC8" s="56">
        <f t="shared" si="16"/>
        <v>1127.2059157926574</v>
      </c>
      <c r="AD8" s="55">
        <f t="shared" si="17"/>
        <v>37.797199347039594</v>
      </c>
    </row>
    <row r="9" spans="1:32" x14ac:dyDescent="0.25">
      <c r="A9" s="56" t="s">
        <v>156</v>
      </c>
      <c r="B9" s="56" t="s">
        <v>329</v>
      </c>
      <c r="C9" s="56">
        <v>2.29E-2</v>
      </c>
      <c r="D9" s="56">
        <v>4.76</v>
      </c>
      <c r="E9" s="56">
        <v>2.3199999999999998</v>
      </c>
      <c r="F9" s="56">
        <v>2.29</v>
      </c>
      <c r="G9" s="56">
        <v>4.76</v>
      </c>
      <c r="H9" s="56">
        <v>2.2999999999999998</v>
      </c>
      <c r="I9" s="56">
        <v>2.29</v>
      </c>
      <c r="J9" s="56">
        <v>4.75</v>
      </c>
      <c r="K9" s="56">
        <v>2.3199999999999998</v>
      </c>
      <c r="L9" s="56">
        <v>2.29</v>
      </c>
      <c r="M9" s="56">
        <f t="shared" si="0"/>
        <v>4.7566666666666668</v>
      </c>
      <c r="N9" s="56">
        <f t="shared" si="1"/>
        <v>2.313333333333333</v>
      </c>
      <c r="O9" s="56">
        <f t="shared" si="2"/>
        <v>2.29</v>
      </c>
      <c r="P9" s="56">
        <f t="shared" si="3"/>
        <v>5.7735026918961348E-3</v>
      </c>
      <c r="Q9" s="56">
        <f t="shared" si="4"/>
        <v>1.1547005383792526E-2</v>
      </c>
      <c r="R9" s="56">
        <f t="shared" si="5"/>
        <v>0</v>
      </c>
      <c r="S9" s="56">
        <f t="shared" si="6"/>
        <v>19.861877605490303</v>
      </c>
      <c r="T9" s="56">
        <f t="shared" si="7"/>
        <v>19.690654522684351</v>
      </c>
      <c r="U9" s="56">
        <f t="shared" si="8"/>
        <v>19.820150971865324</v>
      </c>
      <c r="V9" s="56">
        <f t="shared" si="9"/>
        <v>19.790894366679993</v>
      </c>
      <c r="W9" s="56">
        <f t="shared" si="10"/>
        <v>1.1529624970435769E-3</v>
      </c>
      <c r="X9" s="56">
        <f t="shared" si="11"/>
        <v>1.1629882578874341E-3</v>
      </c>
      <c r="Y9" s="56">
        <f t="shared" si="12"/>
        <v>1.155389786511037E-3</v>
      </c>
      <c r="Z9" s="56">
        <f t="shared" si="13"/>
        <v>1.1571135138140158E-3</v>
      </c>
      <c r="AA9" s="56">
        <f t="shared" si="14"/>
        <v>19.790894366679993</v>
      </c>
      <c r="AB9" s="56">
        <f t="shared" si="15"/>
        <v>1.1570977832388669E-3</v>
      </c>
      <c r="AC9" s="56">
        <f t="shared" si="16"/>
        <v>1157.0977832388669</v>
      </c>
      <c r="AD9" s="55">
        <f t="shared" si="17"/>
        <v>33.45495979441786</v>
      </c>
    </row>
    <row r="10" spans="1:32" x14ac:dyDescent="0.25">
      <c r="A10" s="56" t="s">
        <v>156</v>
      </c>
      <c r="B10" s="56" t="s">
        <v>328</v>
      </c>
      <c r="C10" s="56">
        <v>2.3400000000000001E-2</v>
      </c>
      <c r="D10" s="56">
        <v>4.75</v>
      </c>
      <c r="E10" s="56">
        <v>2.4</v>
      </c>
      <c r="F10" s="56">
        <v>2.35</v>
      </c>
      <c r="G10" s="56">
        <v>4.74</v>
      </c>
      <c r="H10" s="56">
        <v>2.39</v>
      </c>
      <c r="I10" s="56">
        <v>2.35</v>
      </c>
      <c r="J10" s="56">
        <v>4.7300000000000004</v>
      </c>
      <c r="K10" s="56">
        <v>2.39</v>
      </c>
      <c r="L10" s="56">
        <v>2.35</v>
      </c>
      <c r="M10" s="56">
        <f t="shared" si="0"/>
        <v>4.74</v>
      </c>
      <c r="N10" s="56">
        <f t="shared" si="1"/>
        <v>2.3933333333333331</v>
      </c>
      <c r="O10" s="56">
        <f t="shared" si="2"/>
        <v>2.35</v>
      </c>
      <c r="P10" s="56">
        <f t="shared" si="3"/>
        <v>9.9999999999997868E-3</v>
      </c>
      <c r="Q10" s="56">
        <f t="shared" si="4"/>
        <v>5.7735026918961348E-3</v>
      </c>
      <c r="R10" s="56">
        <f t="shared" si="5"/>
        <v>0</v>
      </c>
      <c r="S10" s="56">
        <f t="shared" si="6"/>
        <v>21.040816797417641</v>
      </c>
      <c r="T10" s="56">
        <f t="shared" si="7"/>
        <v>20.909034839581185</v>
      </c>
      <c r="U10" s="56">
        <f t="shared" si="8"/>
        <v>20.86492295173397</v>
      </c>
      <c r="V10" s="56">
        <f t="shared" si="9"/>
        <v>20.938258196244266</v>
      </c>
      <c r="W10" s="56">
        <f t="shared" si="10"/>
        <v>1.112124126420411E-3</v>
      </c>
      <c r="X10" s="56">
        <f t="shared" si="11"/>
        <v>1.1191334358343205E-3</v>
      </c>
      <c r="Y10" s="56">
        <f t="shared" si="12"/>
        <v>1.1214994684682195E-3</v>
      </c>
      <c r="Z10" s="56">
        <f t="shared" si="13"/>
        <v>1.1175856769076503E-3</v>
      </c>
      <c r="AA10" s="56">
        <f t="shared" si="14"/>
        <v>20.938258196244266</v>
      </c>
      <c r="AB10" s="56">
        <f t="shared" si="15"/>
        <v>1.1175714704004032E-3</v>
      </c>
      <c r="AC10" s="56">
        <f t="shared" si="16"/>
        <v>1117.5714704004033</v>
      </c>
      <c r="AD10" s="55">
        <f t="shared" si="17"/>
        <v>35.664546627442689</v>
      </c>
    </row>
    <row r="11" spans="1:32" x14ac:dyDescent="0.25">
      <c r="A11" s="56" t="s">
        <v>156</v>
      </c>
      <c r="B11" s="56" t="s">
        <v>327</v>
      </c>
      <c r="C11" s="56">
        <v>1.7399999999999999E-2</v>
      </c>
      <c r="D11" s="56">
        <v>3.74</v>
      </c>
      <c r="E11" s="56">
        <v>1.83</v>
      </c>
      <c r="F11" s="56">
        <v>2.84</v>
      </c>
      <c r="G11" s="56">
        <v>3.73</v>
      </c>
      <c r="H11" s="56">
        <v>1.83</v>
      </c>
      <c r="I11" s="56">
        <v>2.84</v>
      </c>
      <c r="J11" s="56">
        <v>3.74</v>
      </c>
      <c r="K11" s="56">
        <v>1.83</v>
      </c>
      <c r="L11" s="56">
        <v>2.84</v>
      </c>
      <c r="M11" s="56">
        <f t="shared" si="0"/>
        <v>3.7366666666666668</v>
      </c>
      <c r="N11" s="56">
        <f t="shared" si="1"/>
        <v>1.83</v>
      </c>
      <c r="O11" s="56">
        <f t="shared" si="2"/>
        <v>2.84</v>
      </c>
      <c r="P11" s="56">
        <f t="shared" si="3"/>
        <v>5.7735026918963907E-3</v>
      </c>
      <c r="Q11" s="56">
        <f t="shared" si="4"/>
        <v>0</v>
      </c>
      <c r="R11" s="56">
        <f t="shared" si="5"/>
        <v>0</v>
      </c>
      <c r="S11" s="56">
        <f t="shared" si="6"/>
        <v>15.266198792186477</v>
      </c>
      <c r="T11" s="56">
        <f t="shared" si="7"/>
        <v>15.225380078838382</v>
      </c>
      <c r="U11" s="56">
        <f t="shared" si="8"/>
        <v>15.266198792186477</v>
      </c>
      <c r="V11" s="56">
        <f t="shared" si="9"/>
        <v>15.252592554403778</v>
      </c>
      <c r="W11" s="56">
        <f t="shared" si="10"/>
        <v>1.1397729216591651E-3</v>
      </c>
      <c r="X11" s="56">
        <f t="shared" si="11"/>
        <v>1.1428286131381442E-3</v>
      </c>
      <c r="Y11" s="56">
        <f t="shared" si="12"/>
        <v>1.1397729216591651E-3</v>
      </c>
      <c r="Z11" s="56">
        <f t="shared" si="13"/>
        <v>1.1407914854854914E-3</v>
      </c>
      <c r="AA11" s="56">
        <f t="shared" si="14"/>
        <v>15.252592554403778</v>
      </c>
      <c r="AB11" s="56">
        <f t="shared" si="15"/>
        <v>1.1407896682440531E-3</v>
      </c>
      <c r="AC11" s="56">
        <f t="shared" si="16"/>
        <v>1140.789668244053</v>
      </c>
      <c r="AD11" s="55">
        <f t="shared" si="17"/>
        <v>26.848364976843733</v>
      </c>
    </row>
    <row r="12" spans="1:32" x14ac:dyDescent="0.25">
      <c r="A12" s="56" t="s">
        <v>156</v>
      </c>
      <c r="B12" s="56" t="s">
        <v>326</v>
      </c>
      <c r="C12" s="56">
        <v>1.7100000000000001E-2</v>
      </c>
      <c r="D12" s="56">
        <v>3.73</v>
      </c>
      <c r="E12" s="56">
        <v>1.79</v>
      </c>
      <c r="F12" s="56">
        <v>2.85</v>
      </c>
      <c r="G12" s="56">
        <v>3.72</v>
      </c>
      <c r="H12" s="56">
        <v>1.78</v>
      </c>
      <c r="I12" s="56">
        <v>2.84</v>
      </c>
      <c r="J12" s="56">
        <v>3.71</v>
      </c>
      <c r="K12" s="56">
        <v>1.78</v>
      </c>
      <c r="L12" s="56">
        <v>2.84</v>
      </c>
      <c r="M12" s="56">
        <f t="shared" si="0"/>
        <v>3.72</v>
      </c>
      <c r="N12" s="56">
        <f t="shared" si="1"/>
        <v>1.7833333333333334</v>
      </c>
      <c r="O12" s="56">
        <f t="shared" si="2"/>
        <v>2.8433333333333333</v>
      </c>
      <c r="P12" s="56">
        <f t="shared" si="3"/>
        <v>1.0000000000000009E-2</v>
      </c>
      <c r="Q12" s="56">
        <f t="shared" si="4"/>
        <v>5.7735026918962632E-3</v>
      </c>
      <c r="R12" s="56">
        <f t="shared" si="5"/>
        <v>5.7735026918963907E-3</v>
      </c>
      <c r="S12" s="56">
        <f t="shared" si="6"/>
        <v>14.945023565033869</v>
      </c>
      <c r="T12" s="56">
        <f t="shared" si="7"/>
        <v>14.769682639657226</v>
      </c>
      <c r="U12" s="56">
        <f t="shared" si="8"/>
        <v>14.729979191701155</v>
      </c>
      <c r="V12" s="56">
        <f t="shared" si="9"/>
        <v>14.814895132130751</v>
      </c>
      <c r="W12" s="56">
        <f t="shared" si="10"/>
        <v>1.1441935789253638E-3</v>
      </c>
      <c r="X12" s="56">
        <f t="shared" si="11"/>
        <v>1.1577770773547817E-3</v>
      </c>
      <c r="Y12" s="56">
        <f t="shared" si="12"/>
        <v>1.1608977702856575E-3</v>
      </c>
      <c r="Z12" s="56">
        <f t="shared" si="13"/>
        <v>1.1542894755219343E-3</v>
      </c>
      <c r="AA12" s="56">
        <f t="shared" si="14"/>
        <v>14.814895132130751</v>
      </c>
      <c r="AB12" s="56">
        <f t="shared" si="15"/>
        <v>1.1542437423612457E-3</v>
      </c>
      <c r="AC12" s="56">
        <f t="shared" si="16"/>
        <v>1154.2437423612457</v>
      </c>
      <c r="AD12" s="55">
        <f t="shared" si="17"/>
        <v>25.920931918918988</v>
      </c>
    </row>
    <row r="13" spans="1:32" x14ac:dyDescent="0.25">
      <c r="A13" s="56" t="s">
        <v>156</v>
      </c>
      <c r="B13" s="56" t="s">
        <v>325</v>
      </c>
      <c r="C13" s="56">
        <v>2.2700000000000001E-2</v>
      </c>
      <c r="D13" s="56">
        <v>4.67</v>
      </c>
      <c r="E13" s="56">
        <v>2.31</v>
      </c>
      <c r="F13" s="56">
        <v>2.35</v>
      </c>
      <c r="G13" s="56">
        <v>4.66</v>
      </c>
      <c r="H13" s="56">
        <v>2.31</v>
      </c>
      <c r="I13" s="56">
        <v>2.36</v>
      </c>
      <c r="J13" s="56">
        <v>4.66</v>
      </c>
      <c r="K13" s="56">
        <v>2.31</v>
      </c>
      <c r="L13" s="56">
        <v>2.36</v>
      </c>
      <c r="M13" s="56">
        <f t="shared" si="0"/>
        <v>4.6633333333333331</v>
      </c>
      <c r="N13" s="56">
        <f t="shared" si="1"/>
        <v>2.31</v>
      </c>
      <c r="O13" s="56">
        <f t="shared" si="2"/>
        <v>2.3566666666666669</v>
      </c>
      <c r="P13" s="56">
        <f t="shared" si="3"/>
        <v>5.7735026918961348E-3</v>
      </c>
      <c r="Q13" s="56">
        <f t="shared" si="4"/>
        <v>0</v>
      </c>
      <c r="R13" s="56">
        <f t="shared" si="5"/>
        <v>5.7735026918961348E-3</v>
      </c>
      <c r="S13" s="56">
        <f t="shared" si="6"/>
        <v>19.910703453114238</v>
      </c>
      <c r="T13" s="56">
        <f t="shared" si="7"/>
        <v>19.952613084511285</v>
      </c>
      <c r="U13" s="56">
        <f t="shared" si="8"/>
        <v>19.952613084511285</v>
      </c>
      <c r="V13" s="56">
        <f t="shared" si="9"/>
        <v>19.938643207378934</v>
      </c>
      <c r="W13" s="56">
        <f t="shared" si="10"/>
        <v>1.1400903063748604E-3</v>
      </c>
      <c r="X13" s="56">
        <f t="shared" si="11"/>
        <v>1.1376955942488276E-3</v>
      </c>
      <c r="Y13" s="56">
        <f t="shared" si="12"/>
        <v>1.1376955942488276E-3</v>
      </c>
      <c r="Z13" s="56">
        <f t="shared" si="13"/>
        <v>1.1384938316241721E-3</v>
      </c>
      <c r="AA13" s="56">
        <f t="shared" si="14"/>
        <v>19.938643207378934</v>
      </c>
      <c r="AB13" s="56">
        <f t="shared" si="15"/>
        <v>1.1384927130648056E-3</v>
      </c>
      <c r="AC13" s="56">
        <f t="shared" si="16"/>
        <v>1138.4927130648057</v>
      </c>
      <c r="AD13" s="55">
        <f t="shared" si="17"/>
        <v>33.866368805697974</v>
      </c>
    </row>
    <row r="14" spans="1:32" x14ac:dyDescent="0.25">
      <c r="A14" s="56" t="s">
        <v>156</v>
      </c>
      <c r="B14" s="56" t="s">
        <v>324</v>
      </c>
      <c r="C14" s="56">
        <v>1.41E-2</v>
      </c>
      <c r="D14" s="56">
        <v>3.65</v>
      </c>
      <c r="E14" s="56">
        <v>1.85</v>
      </c>
      <c r="F14" s="56">
        <v>2.2999999999999998</v>
      </c>
      <c r="G14" s="56">
        <v>3.66</v>
      </c>
      <c r="H14" s="56">
        <v>1.85</v>
      </c>
      <c r="I14" s="56">
        <v>2.31</v>
      </c>
      <c r="J14" s="56">
        <v>3.65</v>
      </c>
      <c r="K14" s="56">
        <v>1.84</v>
      </c>
      <c r="L14" s="56">
        <v>2.31</v>
      </c>
      <c r="M14" s="56">
        <f t="shared" si="0"/>
        <v>3.6533333333333338</v>
      </c>
      <c r="N14" s="56">
        <f t="shared" si="1"/>
        <v>1.8466666666666667</v>
      </c>
      <c r="O14" s="56">
        <f t="shared" si="2"/>
        <v>2.3066666666666666</v>
      </c>
      <c r="P14" s="56">
        <f t="shared" si="3"/>
        <v>5.7735026918963907E-3</v>
      </c>
      <c r="Q14" s="56">
        <f t="shared" si="4"/>
        <v>5.7735026918962632E-3</v>
      </c>
      <c r="R14" s="56">
        <f t="shared" si="5"/>
        <v>5.7735026918963907E-3</v>
      </c>
      <c r="S14" s="56">
        <f t="shared" si="6"/>
        <v>12.197822526184918</v>
      </c>
      <c r="T14" s="56">
        <f t="shared" si="7"/>
        <v>12.284420527681124</v>
      </c>
      <c r="U14" s="56">
        <f t="shared" si="8"/>
        <v>12.184635691021478</v>
      </c>
      <c r="V14" s="56">
        <f t="shared" si="9"/>
        <v>12.222292914962507</v>
      </c>
      <c r="W14" s="56">
        <f t="shared" si="10"/>
        <v>1.1559440194946024E-3</v>
      </c>
      <c r="X14" s="56">
        <f t="shared" si="11"/>
        <v>1.1477952882049045E-3</v>
      </c>
      <c r="Y14" s="56">
        <f t="shared" si="12"/>
        <v>1.1571950411607217E-3</v>
      </c>
      <c r="Z14" s="56">
        <f t="shared" si="13"/>
        <v>1.1536447829534095E-3</v>
      </c>
      <c r="AA14" s="56">
        <f t="shared" si="14"/>
        <v>12.222292914962507</v>
      </c>
      <c r="AB14" s="56">
        <f t="shared" si="15"/>
        <v>1.1536296910982069E-3</v>
      </c>
      <c r="AC14" s="56">
        <f t="shared" si="16"/>
        <v>1153.6296910982069</v>
      </c>
      <c r="AD14" s="55">
        <f t="shared" si="17"/>
        <v>24.095457147673073</v>
      </c>
    </row>
    <row r="15" spans="1:32" x14ac:dyDescent="0.25">
      <c r="A15" s="56" t="s">
        <v>156</v>
      </c>
      <c r="B15" s="56" t="s">
        <v>323</v>
      </c>
      <c r="C15" s="56">
        <v>1.3899999999999999E-2</v>
      </c>
      <c r="D15" s="56">
        <v>3.71</v>
      </c>
      <c r="E15" s="56">
        <v>1.85</v>
      </c>
      <c r="F15" s="56">
        <v>2.29</v>
      </c>
      <c r="G15" s="56">
        <v>3.7</v>
      </c>
      <c r="H15" s="56">
        <v>1.84</v>
      </c>
      <c r="I15" s="56">
        <v>2.29</v>
      </c>
      <c r="J15" s="56">
        <v>3.71</v>
      </c>
      <c r="K15" s="56">
        <v>1.84</v>
      </c>
      <c r="L15" s="56">
        <v>2.29</v>
      </c>
      <c r="M15" s="56">
        <f t="shared" si="0"/>
        <v>3.706666666666667</v>
      </c>
      <c r="N15" s="56">
        <f t="shared" si="1"/>
        <v>1.8433333333333335</v>
      </c>
      <c r="O15" s="56">
        <f t="shared" si="2"/>
        <v>2.29</v>
      </c>
      <c r="P15" s="56">
        <f t="shared" si="3"/>
        <v>5.7735026918961348E-3</v>
      </c>
      <c r="Q15" s="56">
        <f t="shared" si="4"/>
        <v>5.7735026918962632E-3</v>
      </c>
      <c r="R15" s="56">
        <f t="shared" si="5"/>
        <v>0</v>
      </c>
      <c r="S15" s="56">
        <f t="shared" si="6"/>
        <v>12.344428874355506</v>
      </c>
      <c r="T15" s="56">
        <f t="shared" si="7"/>
        <v>12.244608694778508</v>
      </c>
      <c r="U15" s="56">
        <f t="shared" si="8"/>
        <v>12.277702231791421</v>
      </c>
      <c r="V15" s="56">
        <f t="shared" si="9"/>
        <v>12.288913266975145</v>
      </c>
      <c r="W15" s="56">
        <f t="shared" si="10"/>
        <v>1.1260140215053659E-3</v>
      </c>
      <c r="X15" s="56">
        <f t="shared" si="11"/>
        <v>1.135193483637203E-3</v>
      </c>
      <c r="Y15" s="56">
        <f t="shared" si="12"/>
        <v>1.1321336629265906E-3</v>
      </c>
      <c r="Z15" s="56">
        <f t="shared" si="13"/>
        <v>1.1311137226897199E-3</v>
      </c>
      <c r="AA15" s="56">
        <f t="shared" si="14"/>
        <v>12.288913266975145</v>
      </c>
      <c r="AB15" s="56">
        <f t="shared" si="15"/>
        <v>1.1311008303195075E-3</v>
      </c>
      <c r="AC15" s="56">
        <f t="shared" si="16"/>
        <v>1131.1008303195074</v>
      </c>
      <c r="AD15" s="55">
        <f t="shared" si="17"/>
        <v>23.936143493551036</v>
      </c>
    </row>
    <row r="16" spans="1:32" x14ac:dyDescent="0.25">
      <c r="A16" s="56" t="s">
        <v>156</v>
      </c>
      <c r="B16" s="56" t="s">
        <v>322</v>
      </c>
      <c r="C16" s="56">
        <v>1.7000000000000001E-2</v>
      </c>
      <c r="D16" s="56">
        <v>3.7</v>
      </c>
      <c r="E16" s="56">
        <v>1.81</v>
      </c>
      <c r="F16" s="56">
        <v>2.85</v>
      </c>
      <c r="G16" s="56">
        <v>3.71</v>
      </c>
      <c r="H16" s="56">
        <v>1.81</v>
      </c>
      <c r="I16" s="56">
        <v>2.85</v>
      </c>
      <c r="J16" s="56">
        <v>3.71</v>
      </c>
      <c r="K16" s="56">
        <v>1.81</v>
      </c>
      <c r="L16" s="56">
        <v>2.86</v>
      </c>
      <c r="M16" s="56">
        <f t="shared" si="0"/>
        <v>3.706666666666667</v>
      </c>
      <c r="N16" s="56">
        <f t="shared" si="1"/>
        <v>1.8099999999999998</v>
      </c>
      <c r="O16" s="56">
        <f t="shared" si="2"/>
        <v>2.8533333333333335</v>
      </c>
      <c r="P16" s="56">
        <f t="shared" si="3"/>
        <v>5.7735026918961348E-3</v>
      </c>
      <c r="Q16" s="56">
        <f t="shared" si="4"/>
        <v>2.7194799110210365E-16</v>
      </c>
      <c r="R16" s="56">
        <f t="shared" si="5"/>
        <v>5.7735026918961348E-3</v>
      </c>
      <c r="S16" s="56">
        <f t="shared" si="6"/>
        <v>14.99046277577723</v>
      </c>
      <c r="T16" s="56">
        <f t="shared" si="7"/>
        <v>15.030977540036087</v>
      </c>
      <c r="U16" s="56">
        <f t="shared" si="8"/>
        <v>15.083717812106388</v>
      </c>
      <c r="V16" s="56">
        <f t="shared" si="9"/>
        <v>15.035052709306568</v>
      </c>
      <c r="W16" s="56">
        <f t="shared" si="10"/>
        <v>1.1340543820615025E-3</v>
      </c>
      <c r="X16" s="56">
        <f t="shared" si="11"/>
        <v>1.1309976317055415E-3</v>
      </c>
      <c r="Y16" s="56">
        <f t="shared" si="12"/>
        <v>1.127043094531746E-3</v>
      </c>
      <c r="Z16" s="56">
        <f t="shared" si="13"/>
        <v>1.1306983694329301E-3</v>
      </c>
      <c r="AA16" s="56">
        <f t="shared" si="14"/>
        <v>15.035052709306568</v>
      </c>
      <c r="AB16" s="56">
        <f t="shared" si="15"/>
        <v>1.1306910809482662E-3</v>
      </c>
      <c r="AC16" s="56">
        <f t="shared" si="16"/>
        <v>1130.6910809482663</v>
      </c>
      <c r="AD16" s="55">
        <f t="shared" si="17"/>
        <v>26.517031671645125</v>
      </c>
    </row>
    <row r="17" spans="1:30" x14ac:dyDescent="0.25">
      <c r="A17" s="56" t="s">
        <v>156</v>
      </c>
      <c r="B17" s="56" t="s">
        <v>321</v>
      </c>
      <c r="C17" s="56">
        <v>1.41E-2</v>
      </c>
      <c r="D17" s="56">
        <v>3.77</v>
      </c>
      <c r="E17" s="56">
        <v>1.87</v>
      </c>
      <c r="F17" s="56">
        <v>2.29</v>
      </c>
      <c r="G17" s="56">
        <v>3.77</v>
      </c>
      <c r="H17" s="56">
        <v>1.88</v>
      </c>
      <c r="I17" s="56">
        <v>2.29</v>
      </c>
      <c r="J17" s="56">
        <v>3.75</v>
      </c>
      <c r="K17" s="56">
        <v>1.87</v>
      </c>
      <c r="L17" s="56">
        <v>2.29</v>
      </c>
      <c r="M17" s="56">
        <f t="shared" si="0"/>
        <v>3.7633333333333332</v>
      </c>
      <c r="N17" s="56">
        <f t="shared" si="1"/>
        <v>1.8733333333333333</v>
      </c>
      <c r="O17" s="56">
        <f t="shared" si="2"/>
        <v>2.29</v>
      </c>
      <c r="P17" s="56">
        <f t="shared" si="3"/>
        <v>1.1547005383792526E-2</v>
      </c>
      <c r="Q17" s="56">
        <f t="shared" si="4"/>
        <v>5.7735026918961348E-3</v>
      </c>
      <c r="R17" s="56">
        <f t="shared" si="5"/>
        <v>0</v>
      </c>
      <c r="S17" s="56">
        <f t="shared" si="6"/>
        <v>12.679680792790686</v>
      </c>
      <c r="T17" s="56">
        <f t="shared" si="7"/>
        <v>12.747486572431278</v>
      </c>
      <c r="U17" s="56">
        <f t="shared" si="8"/>
        <v>12.612414581688348</v>
      </c>
      <c r="V17" s="56">
        <f t="shared" si="9"/>
        <v>12.679860648970104</v>
      </c>
      <c r="W17" s="56">
        <f t="shared" si="10"/>
        <v>1.1120153756565283E-3</v>
      </c>
      <c r="X17" s="56">
        <f t="shared" si="11"/>
        <v>1.1061004002540999E-3</v>
      </c>
      <c r="Y17" s="56">
        <f t="shared" si="12"/>
        <v>1.1179461243266964E-3</v>
      </c>
      <c r="Z17" s="56">
        <f t="shared" si="13"/>
        <v>1.1120206334124414E-3</v>
      </c>
      <c r="AA17" s="56">
        <f t="shared" si="14"/>
        <v>12.679860648970104</v>
      </c>
      <c r="AB17" s="56">
        <f t="shared" si="15"/>
        <v>1.1119996023887884E-3</v>
      </c>
      <c r="AC17" s="56">
        <f t="shared" si="16"/>
        <v>1111.9996023887884</v>
      </c>
      <c r="AD17" s="55">
        <f t="shared" si="17"/>
        <v>24.502258489727915</v>
      </c>
    </row>
    <row r="18" spans="1:30" x14ac:dyDescent="0.25">
      <c r="A18" s="56" t="s">
        <v>156</v>
      </c>
      <c r="B18" s="56" t="s">
        <v>320</v>
      </c>
      <c r="C18" s="56">
        <v>1.41E-2</v>
      </c>
      <c r="D18" s="56">
        <v>3.78</v>
      </c>
      <c r="E18" s="56">
        <v>1.88</v>
      </c>
      <c r="F18" s="56">
        <v>2.2799999999999998</v>
      </c>
      <c r="G18" s="56">
        <v>3.78</v>
      </c>
      <c r="H18" s="56">
        <v>1.86</v>
      </c>
      <c r="I18" s="56">
        <v>2.2799999999999998</v>
      </c>
      <c r="J18" s="56">
        <v>3.76</v>
      </c>
      <c r="K18" s="56">
        <v>1.85</v>
      </c>
      <c r="L18" s="56">
        <v>2.27</v>
      </c>
      <c r="M18" s="56">
        <f t="shared" si="0"/>
        <v>3.7733333333333334</v>
      </c>
      <c r="N18" s="56">
        <f t="shared" si="1"/>
        <v>1.8633333333333333</v>
      </c>
      <c r="O18" s="56">
        <f t="shared" si="2"/>
        <v>2.2766666666666668</v>
      </c>
      <c r="P18" s="56">
        <f t="shared" si="3"/>
        <v>1.1547005383792526E-2</v>
      </c>
      <c r="Q18" s="56">
        <f t="shared" si="4"/>
        <v>1.5275252316519359E-2</v>
      </c>
      <c r="R18" s="56">
        <f t="shared" si="5"/>
        <v>5.7735026918961348E-3</v>
      </c>
      <c r="S18" s="56">
        <f t="shared" si="6"/>
        <v>12.725485999078185</v>
      </c>
      <c r="T18" s="56">
        <f t="shared" si="7"/>
        <v>12.590108488449697</v>
      </c>
      <c r="U18" s="56">
        <f t="shared" si="8"/>
        <v>12.401531247825314</v>
      </c>
      <c r="V18" s="56">
        <f t="shared" si="9"/>
        <v>12.572375245117732</v>
      </c>
      <c r="W18" s="56">
        <f t="shared" si="10"/>
        <v>1.1080126920906112E-3</v>
      </c>
      <c r="X18" s="56">
        <f t="shared" si="11"/>
        <v>1.119926807059327E-3</v>
      </c>
      <c r="Y18" s="56">
        <f t="shared" si="12"/>
        <v>1.1369563740342566E-3</v>
      </c>
      <c r="Z18" s="56">
        <f t="shared" si="13"/>
        <v>1.1216319577280649E-3</v>
      </c>
      <c r="AA18" s="56">
        <f t="shared" si="14"/>
        <v>12.572375245117732</v>
      </c>
      <c r="AB18" s="56">
        <f t="shared" si="15"/>
        <v>1.1215064556298138E-3</v>
      </c>
      <c r="AC18" s="56">
        <f t="shared" si="16"/>
        <v>1121.5064556298139</v>
      </c>
      <c r="AD18" s="55">
        <f t="shared" si="17"/>
        <v>24.234874048322382</v>
      </c>
    </row>
    <row r="19" spans="1:30" x14ac:dyDescent="0.25">
      <c r="A19" s="56" t="s">
        <v>156</v>
      </c>
      <c r="B19" s="56" t="s">
        <v>319</v>
      </c>
      <c r="C19" s="56">
        <v>1.3899999999999999E-2</v>
      </c>
      <c r="D19" s="56">
        <v>3.63</v>
      </c>
      <c r="E19" s="56">
        <v>1.85</v>
      </c>
      <c r="F19" s="56">
        <v>2.29</v>
      </c>
      <c r="G19" s="56">
        <v>3.62</v>
      </c>
      <c r="H19" s="56">
        <v>1.84</v>
      </c>
      <c r="I19" s="56">
        <v>2.29</v>
      </c>
      <c r="J19" s="56">
        <v>3.63</v>
      </c>
      <c r="K19" s="56">
        <v>1.84</v>
      </c>
      <c r="L19" s="56">
        <v>2.29</v>
      </c>
      <c r="M19" s="56">
        <f t="shared" si="0"/>
        <v>3.6266666666666665</v>
      </c>
      <c r="N19" s="56">
        <f t="shared" si="1"/>
        <v>1.8433333333333335</v>
      </c>
      <c r="O19" s="56">
        <f t="shared" si="2"/>
        <v>2.29</v>
      </c>
      <c r="P19" s="56">
        <f t="shared" si="3"/>
        <v>5.7735026918961348E-3</v>
      </c>
      <c r="Q19" s="56">
        <f t="shared" si="4"/>
        <v>5.7735026918962632E-3</v>
      </c>
      <c r="R19" s="56">
        <f t="shared" si="5"/>
        <v>0</v>
      </c>
      <c r="S19" s="56">
        <f t="shared" si="6"/>
        <v>12.078241728816842</v>
      </c>
      <c r="T19" s="56">
        <f t="shared" si="7"/>
        <v>11.979860398675187</v>
      </c>
      <c r="U19" s="56">
        <f t="shared" si="8"/>
        <v>12.012953935688101</v>
      </c>
      <c r="V19" s="56">
        <f t="shared" si="9"/>
        <v>12.023685354393377</v>
      </c>
      <c r="W19" s="56">
        <f t="shared" si="10"/>
        <v>1.1508297575165034E-3</v>
      </c>
      <c r="X19" s="56">
        <f t="shared" si="11"/>
        <v>1.1602806324468649E-3</v>
      </c>
      <c r="Y19" s="56">
        <f t="shared" si="12"/>
        <v>1.1570842670682237E-3</v>
      </c>
      <c r="Z19" s="56">
        <f t="shared" si="13"/>
        <v>1.1560648856771974E-3</v>
      </c>
      <c r="AA19" s="56">
        <f t="shared" si="14"/>
        <v>12.023685354393377</v>
      </c>
      <c r="AB19" s="56">
        <f t="shared" si="15"/>
        <v>1.1560515424599853E-3</v>
      </c>
      <c r="AC19" s="56">
        <f t="shared" si="16"/>
        <v>1156.0515424599853</v>
      </c>
      <c r="AD19" s="55">
        <f t="shared" si="17"/>
        <v>23.936143493551036</v>
      </c>
    </row>
    <row r="20" spans="1:30" x14ac:dyDescent="0.25">
      <c r="A20" s="56" t="s">
        <v>156</v>
      </c>
      <c r="B20" s="56" t="s">
        <v>318</v>
      </c>
      <c r="C20" s="56">
        <v>1.41E-2</v>
      </c>
      <c r="D20" s="56">
        <v>3.76</v>
      </c>
      <c r="E20" s="56">
        <v>1.87</v>
      </c>
      <c r="F20" s="56">
        <v>2.29</v>
      </c>
      <c r="G20" s="56">
        <v>3.75</v>
      </c>
      <c r="H20" s="56">
        <v>1.87</v>
      </c>
      <c r="I20" s="56">
        <v>2.2799999999999998</v>
      </c>
      <c r="J20" s="56">
        <v>3.73</v>
      </c>
      <c r="K20" s="56">
        <v>1.85</v>
      </c>
      <c r="L20" s="56">
        <v>2.29</v>
      </c>
      <c r="M20" s="56">
        <f t="shared" si="0"/>
        <v>3.7466666666666666</v>
      </c>
      <c r="N20" s="56">
        <f t="shared" si="1"/>
        <v>1.8633333333333333</v>
      </c>
      <c r="O20" s="56">
        <f t="shared" si="2"/>
        <v>2.2866666666666666</v>
      </c>
      <c r="P20" s="56">
        <f t="shared" si="3"/>
        <v>1.5275252316519383E-2</v>
      </c>
      <c r="Q20" s="56">
        <f t="shared" si="4"/>
        <v>1.1547005383792526E-2</v>
      </c>
      <c r="R20" s="56">
        <f t="shared" si="5"/>
        <v>5.7735026918963907E-3</v>
      </c>
      <c r="S20" s="56">
        <f t="shared" si="6"/>
        <v>12.646047687239518</v>
      </c>
      <c r="T20" s="56">
        <f t="shared" si="7"/>
        <v>12.557338535480103</v>
      </c>
      <c r="U20" s="56">
        <f t="shared" si="8"/>
        <v>12.410975660740171</v>
      </c>
      <c r="V20" s="56">
        <f t="shared" si="9"/>
        <v>12.53812062781993</v>
      </c>
      <c r="W20" s="56">
        <f t="shared" si="10"/>
        <v>1.1149728633577422E-3</v>
      </c>
      <c r="X20" s="56">
        <f t="shared" si="11"/>
        <v>1.1228493968018134E-3</v>
      </c>
      <c r="Y20" s="56">
        <f t="shared" si="12"/>
        <v>1.1360911813406214E-3</v>
      </c>
      <c r="Z20" s="56">
        <f t="shared" si="13"/>
        <v>1.1246378138333923E-3</v>
      </c>
      <c r="AA20" s="56">
        <f t="shared" si="14"/>
        <v>12.53812062781993</v>
      </c>
      <c r="AB20" s="56">
        <f t="shared" si="15"/>
        <v>1.1245704534628999E-3</v>
      </c>
      <c r="AC20" s="56">
        <f t="shared" si="16"/>
        <v>1124.5704534628999</v>
      </c>
      <c r="AD20" s="55">
        <f t="shared" si="17"/>
        <v>24.293412391434273</v>
      </c>
    </row>
    <row r="21" spans="1:30" x14ac:dyDescent="0.25">
      <c r="A21" s="56" t="s">
        <v>156</v>
      </c>
      <c r="B21" s="56" t="s">
        <v>317</v>
      </c>
      <c r="C21" s="56">
        <v>1.3899999999999999E-2</v>
      </c>
      <c r="D21" s="56">
        <v>3.69</v>
      </c>
      <c r="E21" s="56">
        <v>1.83</v>
      </c>
      <c r="F21" s="56">
        <v>2.2799999999999998</v>
      </c>
      <c r="G21" s="56">
        <v>3.68</v>
      </c>
      <c r="H21" s="56">
        <v>1.81</v>
      </c>
      <c r="I21" s="56">
        <v>2.2799999999999998</v>
      </c>
      <c r="J21" s="56">
        <v>3.68</v>
      </c>
      <c r="K21" s="56">
        <v>1.82</v>
      </c>
      <c r="L21" s="56">
        <v>2.2799999999999998</v>
      </c>
      <c r="M21" s="56">
        <f t="shared" si="0"/>
        <v>3.6833333333333336</v>
      </c>
      <c r="N21" s="56">
        <f t="shared" si="1"/>
        <v>1.82</v>
      </c>
      <c r="O21" s="56">
        <f t="shared" si="2"/>
        <v>2.2799999999999998</v>
      </c>
      <c r="P21" s="56">
        <f t="shared" si="3"/>
        <v>5.7735026918961348E-3</v>
      </c>
      <c r="Q21" s="56">
        <f t="shared" si="4"/>
        <v>1.0000000000000009E-2</v>
      </c>
      <c r="R21" s="56">
        <f t="shared" si="5"/>
        <v>0</v>
      </c>
      <c r="S21" s="56">
        <f t="shared" si="6"/>
        <v>12.092112645780603</v>
      </c>
      <c r="T21" s="56">
        <f t="shared" si="7"/>
        <v>11.927546597807607</v>
      </c>
      <c r="U21" s="56">
        <f t="shared" si="8"/>
        <v>11.993444645309308</v>
      </c>
      <c r="V21" s="56">
        <f t="shared" si="9"/>
        <v>12.004367962965839</v>
      </c>
      <c r="W21" s="56">
        <f t="shared" si="10"/>
        <v>1.1495096355102379E-3</v>
      </c>
      <c r="X21" s="56">
        <f t="shared" si="11"/>
        <v>1.1653695825891762E-3</v>
      </c>
      <c r="Y21" s="56">
        <f t="shared" si="12"/>
        <v>1.1589664530145102E-3</v>
      </c>
      <c r="Z21" s="56">
        <f t="shared" si="13"/>
        <v>1.1579485570379748E-3</v>
      </c>
      <c r="AA21" s="56">
        <f t="shared" si="14"/>
        <v>12.004367962965839</v>
      </c>
      <c r="AB21" s="56">
        <f t="shared" si="15"/>
        <v>1.1579118569909131E-3</v>
      </c>
      <c r="AC21" s="56">
        <f t="shared" si="16"/>
        <v>1157.9118569909131</v>
      </c>
      <c r="AD21" s="55">
        <f t="shared" si="17"/>
        <v>23.442564381087038</v>
      </c>
    </row>
    <row r="22" spans="1:30" x14ac:dyDescent="0.25">
      <c r="A22" s="56" t="s">
        <v>156</v>
      </c>
      <c r="B22" s="56" t="s">
        <v>316</v>
      </c>
      <c r="C22" s="56">
        <v>1.41E-2</v>
      </c>
      <c r="D22" s="56">
        <v>3.68</v>
      </c>
      <c r="E22" s="56">
        <v>1.86</v>
      </c>
      <c r="F22" s="56">
        <v>2.2799999999999998</v>
      </c>
      <c r="G22" s="56">
        <v>3.7</v>
      </c>
      <c r="H22" s="56">
        <v>1.85</v>
      </c>
      <c r="I22" s="56">
        <v>2.2799999999999998</v>
      </c>
      <c r="J22" s="56">
        <v>3.71</v>
      </c>
      <c r="K22" s="56">
        <v>1.85</v>
      </c>
      <c r="L22" s="56">
        <v>2.27</v>
      </c>
      <c r="M22" s="56">
        <f t="shared" si="0"/>
        <v>3.6966666666666668</v>
      </c>
      <c r="N22" s="56">
        <f t="shared" si="1"/>
        <v>1.8533333333333335</v>
      </c>
      <c r="O22" s="56">
        <f t="shared" si="2"/>
        <v>2.2766666666666668</v>
      </c>
      <c r="P22" s="56">
        <f t="shared" si="3"/>
        <v>1.5275252316519385E-2</v>
      </c>
      <c r="Q22" s="56">
        <f t="shared" si="4"/>
        <v>5.7735026918962632E-3</v>
      </c>
      <c r="R22" s="56">
        <f t="shared" si="5"/>
        <v>5.7735026918961348E-3</v>
      </c>
      <c r="S22" s="56">
        <f t="shared" si="6"/>
        <v>12.257036835316105</v>
      </c>
      <c r="T22" s="56">
        <f t="shared" si="7"/>
        <v>12.257394976878617</v>
      </c>
      <c r="U22" s="56">
        <f t="shared" si="8"/>
        <v>12.236617268465938</v>
      </c>
      <c r="V22" s="56">
        <f t="shared" si="9"/>
        <v>12.250349693553554</v>
      </c>
      <c r="W22" s="56">
        <f t="shared" si="10"/>
        <v>1.1503596007294177E-3</v>
      </c>
      <c r="X22" s="56">
        <f t="shared" si="11"/>
        <v>1.1503259890537204E-3</v>
      </c>
      <c r="Y22" s="56">
        <f t="shared" si="12"/>
        <v>1.1522792362180065E-3</v>
      </c>
      <c r="Z22" s="56">
        <f t="shared" si="13"/>
        <v>1.150988275333715E-3</v>
      </c>
      <c r="AA22" s="56">
        <f t="shared" si="14"/>
        <v>12.250349693553554</v>
      </c>
      <c r="AB22" s="56">
        <f t="shared" si="15"/>
        <v>1.1509875515977946E-3</v>
      </c>
      <c r="AC22" s="56">
        <f t="shared" si="16"/>
        <v>1150.9875515977947</v>
      </c>
      <c r="AD22" s="55">
        <f t="shared" si="17"/>
        <v>24.046587928617235</v>
      </c>
    </row>
    <row r="23" spans="1:30" x14ac:dyDescent="0.25">
      <c r="A23" s="56" t="s">
        <v>156</v>
      </c>
      <c r="B23" s="56" t="s">
        <v>315</v>
      </c>
      <c r="C23" s="56">
        <v>1.6899999999999998E-2</v>
      </c>
      <c r="D23" s="56">
        <v>3.7</v>
      </c>
      <c r="E23" s="56">
        <v>1.8</v>
      </c>
      <c r="F23" s="56">
        <v>2.87</v>
      </c>
      <c r="G23" s="56">
        <v>3.68</v>
      </c>
      <c r="H23" s="56">
        <v>1.8</v>
      </c>
      <c r="I23" s="56">
        <v>2.86</v>
      </c>
      <c r="J23" s="56">
        <v>3.7</v>
      </c>
      <c r="K23" s="56">
        <v>1.81</v>
      </c>
      <c r="L23" s="56">
        <v>2.86</v>
      </c>
      <c r="M23" s="56">
        <f t="shared" si="0"/>
        <v>3.6933333333333338</v>
      </c>
      <c r="N23" s="56">
        <f t="shared" si="1"/>
        <v>1.8033333333333335</v>
      </c>
      <c r="O23" s="56">
        <f t="shared" si="2"/>
        <v>2.8633333333333333</v>
      </c>
      <c r="P23" s="56">
        <f t="shared" si="3"/>
        <v>1.1547005383792526E-2</v>
      </c>
      <c r="Q23" s="56">
        <f t="shared" si="4"/>
        <v>5.7735026918962632E-3</v>
      </c>
      <c r="R23" s="56">
        <f t="shared" si="5"/>
        <v>5.7735026918963907E-3</v>
      </c>
      <c r="S23" s="56">
        <f t="shared" si="6"/>
        <v>15.012257574811505</v>
      </c>
      <c r="T23" s="56">
        <f t="shared" si="7"/>
        <v>14.879085462225836</v>
      </c>
      <c r="U23" s="56">
        <f t="shared" si="8"/>
        <v>15.043060890779957</v>
      </c>
      <c r="V23" s="56">
        <f t="shared" si="9"/>
        <v>14.978134642605767</v>
      </c>
      <c r="W23" s="56">
        <f t="shared" si="10"/>
        <v>1.1257467383423972E-3</v>
      </c>
      <c r="X23" s="56">
        <f t="shared" si="11"/>
        <v>1.1358224968130428E-3</v>
      </c>
      <c r="Y23" s="56">
        <f t="shared" si="12"/>
        <v>1.1234415736732261E-3</v>
      </c>
      <c r="Z23" s="56">
        <f t="shared" si="13"/>
        <v>1.1283369362762221E-3</v>
      </c>
      <c r="AA23" s="56">
        <f t="shared" si="14"/>
        <v>14.978134642605767</v>
      </c>
      <c r="AB23" s="56">
        <f t="shared" si="15"/>
        <v>1.1283113954609159E-3</v>
      </c>
      <c r="AC23" s="56">
        <f t="shared" si="16"/>
        <v>1128.3113954609159</v>
      </c>
      <c r="AD23" s="55">
        <f t="shared" si="17"/>
        <v>26.438247509210107</v>
      </c>
    </row>
    <row r="24" spans="1:30" x14ac:dyDescent="0.25">
      <c r="A24" s="56" t="s">
        <v>156</v>
      </c>
      <c r="B24" s="56" t="s">
        <v>314</v>
      </c>
      <c r="C24" s="56">
        <v>1.37E-2</v>
      </c>
      <c r="D24" s="56">
        <v>3.66</v>
      </c>
      <c r="E24" s="56">
        <v>1.87</v>
      </c>
      <c r="F24" s="56">
        <v>2.2999999999999998</v>
      </c>
      <c r="G24" s="56">
        <v>3.67</v>
      </c>
      <c r="H24" s="56">
        <v>1.86</v>
      </c>
      <c r="I24" s="56">
        <v>2.29</v>
      </c>
      <c r="J24" s="56">
        <v>3.66</v>
      </c>
      <c r="K24" s="56">
        <v>1.88</v>
      </c>
      <c r="L24" s="56">
        <v>2.2999999999999998</v>
      </c>
      <c r="M24" s="56">
        <f t="shared" si="0"/>
        <v>3.6633333333333336</v>
      </c>
      <c r="N24" s="56">
        <f t="shared" si="1"/>
        <v>1.87</v>
      </c>
      <c r="O24" s="56">
        <f t="shared" si="2"/>
        <v>2.2966666666666664</v>
      </c>
      <c r="P24" s="56">
        <f t="shared" si="3"/>
        <v>5.7735026918961348E-3</v>
      </c>
      <c r="Q24" s="56">
        <f t="shared" si="4"/>
        <v>9.9999999999998979E-3</v>
      </c>
      <c r="R24" s="56">
        <f t="shared" si="5"/>
        <v>5.7735026918961348E-3</v>
      </c>
      <c r="S24" s="56">
        <f t="shared" si="6"/>
        <v>12.363470852827076</v>
      </c>
      <c r="T24" s="56">
        <f t="shared" si="7"/>
        <v>12.277342519432585</v>
      </c>
      <c r="U24" s="56">
        <f t="shared" si="8"/>
        <v>12.429585670221872</v>
      </c>
      <c r="V24" s="56">
        <f t="shared" si="9"/>
        <v>12.356799680827178</v>
      </c>
      <c r="W24" s="56">
        <f t="shared" si="10"/>
        <v>1.1081030693631884E-3</v>
      </c>
      <c r="X24" s="56">
        <f t="shared" si="11"/>
        <v>1.1158766629110195E-3</v>
      </c>
      <c r="Y24" s="56">
        <f t="shared" si="12"/>
        <v>1.1022089041006185E-3</v>
      </c>
      <c r="Z24" s="56">
        <f t="shared" si="13"/>
        <v>1.1087295454582755E-3</v>
      </c>
      <c r="AA24" s="56">
        <f t="shared" si="14"/>
        <v>12.356799680827178</v>
      </c>
      <c r="AB24" s="56">
        <f t="shared" si="15"/>
        <v>1.1087013105227346E-3</v>
      </c>
      <c r="AC24" s="56">
        <f t="shared" si="16"/>
        <v>1108.7013105227345</v>
      </c>
      <c r="AD24" s="55">
        <f t="shared" si="17"/>
        <v>24.478242759220471</v>
      </c>
    </row>
    <row r="25" spans="1:30" x14ac:dyDescent="0.25">
      <c r="A25" s="56" t="s">
        <v>156</v>
      </c>
      <c r="B25" s="56" t="s">
        <v>313</v>
      </c>
      <c r="C25" s="56">
        <v>7.0000000000000001E-3</v>
      </c>
      <c r="D25" s="56">
        <v>2.74</v>
      </c>
      <c r="E25" s="56">
        <v>1.29</v>
      </c>
      <c r="F25" s="56">
        <v>2.29</v>
      </c>
      <c r="G25" s="56">
        <v>2.73</v>
      </c>
      <c r="H25" s="56">
        <v>1.3</v>
      </c>
      <c r="I25" s="56">
        <v>2.2799999999999998</v>
      </c>
      <c r="J25" s="56">
        <v>2.74</v>
      </c>
      <c r="K25" s="56">
        <v>1.31</v>
      </c>
      <c r="L25" s="56">
        <v>2.29</v>
      </c>
      <c r="M25" s="56">
        <f t="shared" si="0"/>
        <v>2.7366666666666668</v>
      </c>
      <c r="N25" s="56">
        <f t="shared" si="1"/>
        <v>1.3</v>
      </c>
      <c r="O25" s="56">
        <f t="shared" si="2"/>
        <v>2.2866666666666666</v>
      </c>
      <c r="P25" s="56">
        <f t="shared" si="3"/>
        <v>5.7735026918963907E-3</v>
      </c>
      <c r="Q25" s="56">
        <f t="shared" si="4"/>
        <v>1.0000000000000009E-2</v>
      </c>
      <c r="R25" s="56">
        <f t="shared" si="5"/>
        <v>5.7735026918963907E-3</v>
      </c>
      <c r="S25" s="56">
        <f t="shared" si="6"/>
        <v>6.3571965177091814</v>
      </c>
      <c r="T25" s="56">
        <f t="shared" si="7"/>
        <v>6.3552220267263992</v>
      </c>
      <c r="U25" s="56">
        <f t="shared" si="8"/>
        <v>6.4557577040302547</v>
      </c>
      <c r="V25" s="56">
        <f t="shared" si="9"/>
        <v>6.3893920828219448</v>
      </c>
      <c r="W25" s="56">
        <f t="shared" si="10"/>
        <v>1.1011143010130594E-3</v>
      </c>
      <c r="X25" s="56">
        <f t="shared" si="11"/>
        <v>1.1014564039717317E-3</v>
      </c>
      <c r="Y25" s="56">
        <f t="shared" si="12"/>
        <v>1.0843033956540811E-3</v>
      </c>
      <c r="Z25" s="56">
        <f t="shared" si="13"/>
        <v>1.0956247002129574E-3</v>
      </c>
      <c r="AA25" s="56">
        <f t="shared" si="14"/>
        <v>6.3893920828219448</v>
      </c>
      <c r="AB25" s="56">
        <f t="shared" si="15"/>
        <v>1.0955658862788671E-3</v>
      </c>
      <c r="AC25" s="56">
        <f t="shared" si="16"/>
        <v>1095.5658862788671</v>
      </c>
      <c r="AD25" s="55">
        <f t="shared" si="17"/>
        <v>14.648199346138009</v>
      </c>
    </row>
    <row r="26" spans="1:30" x14ac:dyDescent="0.25">
      <c r="A26" s="56" t="s">
        <v>156</v>
      </c>
      <c r="B26" s="56" t="s">
        <v>312</v>
      </c>
      <c r="C26" s="56">
        <v>1.7100000000000001E-2</v>
      </c>
      <c r="D26" s="56">
        <v>3.71</v>
      </c>
      <c r="E26" s="56">
        <v>1.8</v>
      </c>
      <c r="F26" s="56">
        <v>2.86</v>
      </c>
      <c r="G26" s="56">
        <v>3.71</v>
      </c>
      <c r="H26" s="56">
        <v>1.8</v>
      </c>
      <c r="I26" s="56">
        <v>2.86</v>
      </c>
      <c r="J26" s="56">
        <v>3.72</v>
      </c>
      <c r="K26" s="56">
        <v>1.81</v>
      </c>
      <c r="L26" s="56">
        <v>2.85</v>
      </c>
      <c r="M26" s="56">
        <f t="shared" si="0"/>
        <v>3.7133333333333334</v>
      </c>
      <c r="N26" s="56">
        <f t="shared" si="1"/>
        <v>1.8033333333333335</v>
      </c>
      <c r="O26" s="56">
        <f t="shared" si="2"/>
        <v>2.8566666666666669</v>
      </c>
      <c r="P26" s="56">
        <f t="shared" si="3"/>
        <v>5.7735026918963907E-3</v>
      </c>
      <c r="Q26" s="56">
        <f t="shared" si="4"/>
        <v>5.7735026918962632E-3</v>
      </c>
      <c r="R26" s="56">
        <f t="shared" si="5"/>
        <v>5.7735026918961348E-3</v>
      </c>
      <c r="S26" s="56">
        <f t="shared" si="6"/>
        <v>15.000382354580935</v>
      </c>
      <c r="T26" s="56">
        <f t="shared" si="7"/>
        <v>15.000382354580935</v>
      </c>
      <c r="U26" s="56">
        <f t="shared" si="8"/>
        <v>15.071492304294942</v>
      </c>
      <c r="V26" s="56">
        <f t="shared" si="9"/>
        <v>15.024085671152271</v>
      </c>
      <c r="W26" s="56">
        <f t="shared" si="10"/>
        <v>1.1399709417925516E-3</v>
      </c>
      <c r="X26" s="56">
        <f t="shared" si="11"/>
        <v>1.1399709417925516E-3</v>
      </c>
      <c r="Y26" s="56">
        <f t="shared" si="12"/>
        <v>1.1345923585235811E-3</v>
      </c>
      <c r="Z26" s="56">
        <f t="shared" si="13"/>
        <v>1.1381780807028948E-3</v>
      </c>
      <c r="AA26" s="56">
        <f t="shared" si="14"/>
        <v>15.024085671152271</v>
      </c>
      <c r="AB26" s="56">
        <f t="shared" si="15"/>
        <v>1.1381724235527816E-3</v>
      </c>
      <c r="AC26" s="56">
        <f t="shared" si="16"/>
        <v>1138.1724235527815</v>
      </c>
      <c r="AD26" s="55">
        <f t="shared" si="17"/>
        <v>26.400478584196946</v>
      </c>
    </row>
    <row r="27" spans="1:30" x14ac:dyDescent="0.25">
      <c r="A27" s="56" t="s">
        <v>156</v>
      </c>
      <c r="B27" s="56" t="s">
        <v>311</v>
      </c>
      <c r="C27" s="56">
        <v>1.09E-2</v>
      </c>
      <c r="D27" s="56">
        <v>4.72</v>
      </c>
      <c r="E27" s="56">
        <v>2.31</v>
      </c>
      <c r="F27" s="56">
        <v>1.04</v>
      </c>
      <c r="G27" s="56">
        <v>4.75</v>
      </c>
      <c r="H27" s="56">
        <v>2.31</v>
      </c>
      <c r="I27" s="56">
        <v>1.01</v>
      </c>
      <c r="J27" s="56">
        <v>4.76</v>
      </c>
      <c r="K27" s="56">
        <v>2.2999999999999998</v>
      </c>
      <c r="L27" s="56">
        <v>1.01</v>
      </c>
      <c r="M27" s="56">
        <f t="shared" si="0"/>
        <v>4.7433333333333332</v>
      </c>
      <c r="N27" s="56">
        <f t="shared" si="1"/>
        <v>2.3066666666666666</v>
      </c>
      <c r="O27" s="56">
        <f t="shared" si="2"/>
        <v>1.0199999999999998</v>
      </c>
      <c r="P27" s="56">
        <f t="shared" si="3"/>
        <v>2.0816659994661382E-2</v>
      </c>
      <c r="Q27" s="56">
        <f t="shared" si="4"/>
        <v>5.7735026918963907E-3</v>
      </c>
      <c r="R27" s="56">
        <f t="shared" si="5"/>
        <v>1.7320508075688787E-2</v>
      </c>
      <c r="S27" s="56">
        <f t="shared" si="6"/>
        <v>8.9058873853612592</v>
      </c>
      <c r="T27" s="56">
        <f t="shared" si="7"/>
        <v>8.7039591613572878</v>
      </c>
      <c r="U27" s="56">
        <f t="shared" si="8"/>
        <v>8.6845244838040152</v>
      </c>
      <c r="V27" s="56">
        <f t="shared" si="9"/>
        <v>8.7647903435075207</v>
      </c>
      <c r="W27" s="56">
        <f t="shared" si="10"/>
        <v>1.2239094801396763E-3</v>
      </c>
      <c r="X27" s="56">
        <f t="shared" si="11"/>
        <v>1.2523036698508893E-3</v>
      </c>
      <c r="Y27" s="56">
        <f t="shared" si="12"/>
        <v>1.2551061397003001E-3</v>
      </c>
      <c r="Z27" s="56">
        <f t="shared" si="13"/>
        <v>1.243773096563622E-3</v>
      </c>
      <c r="AA27" s="56">
        <f t="shared" si="14"/>
        <v>8.7647903435075207</v>
      </c>
      <c r="AB27" s="56">
        <f t="shared" si="15"/>
        <v>1.2436121769956684E-3</v>
      </c>
      <c r="AC27" s="56">
        <f t="shared" si="16"/>
        <v>1243.6121769956685</v>
      </c>
      <c r="AD27" s="55">
        <f t="shared" si="17"/>
        <v>24.107046133906316</v>
      </c>
    </row>
    <row r="28" spans="1:30" x14ac:dyDescent="0.25">
      <c r="A28" s="56" t="s">
        <v>156</v>
      </c>
      <c r="B28" s="56" t="s">
        <v>310</v>
      </c>
      <c r="C28" s="56">
        <v>6.8999999999999999E-3</v>
      </c>
      <c r="D28" s="56">
        <v>2.67</v>
      </c>
      <c r="E28" s="56">
        <v>1.3</v>
      </c>
      <c r="F28" s="56">
        <v>2.2799999999999998</v>
      </c>
      <c r="G28" s="56">
        <v>2.67</v>
      </c>
      <c r="H28" s="56">
        <v>1.3</v>
      </c>
      <c r="I28" s="56">
        <v>2.2799999999999998</v>
      </c>
      <c r="J28" s="56">
        <v>2.68</v>
      </c>
      <c r="K28" s="56">
        <v>1.3</v>
      </c>
      <c r="L28" s="56">
        <v>2.2799999999999998</v>
      </c>
      <c r="M28" s="56">
        <f t="shared" si="0"/>
        <v>2.6733333333333333</v>
      </c>
      <c r="N28" s="56">
        <f t="shared" si="1"/>
        <v>1.3</v>
      </c>
      <c r="O28" s="56">
        <f t="shared" si="2"/>
        <v>2.2799999999999998</v>
      </c>
      <c r="P28" s="56">
        <f t="shared" si="3"/>
        <v>5.7735026918963907E-3</v>
      </c>
      <c r="Q28" s="56">
        <f t="shared" si="4"/>
        <v>0</v>
      </c>
      <c r="R28" s="56">
        <f t="shared" si="5"/>
        <v>0</v>
      </c>
      <c r="S28" s="56">
        <f t="shared" si="6"/>
        <v>6.2155468173477972</v>
      </c>
      <c r="T28" s="56">
        <f t="shared" si="7"/>
        <v>6.2155468173477972</v>
      </c>
      <c r="U28" s="56">
        <f t="shared" si="8"/>
        <v>6.2388260189108982</v>
      </c>
      <c r="V28" s="56">
        <f t="shared" si="9"/>
        <v>6.2233065512021639</v>
      </c>
      <c r="W28" s="56">
        <f t="shared" si="10"/>
        <v>1.1101195442276891E-3</v>
      </c>
      <c r="X28" s="56">
        <f t="shared" si="11"/>
        <v>1.1101195442276891E-3</v>
      </c>
      <c r="Y28" s="56">
        <f t="shared" si="12"/>
        <v>1.1059773071223618E-3</v>
      </c>
      <c r="Z28" s="56">
        <f t="shared" si="13"/>
        <v>1.1087387985259133E-3</v>
      </c>
      <c r="AA28" s="56">
        <f t="shared" si="14"/>
        <v>6.2233065512021639</v>
      </c>
      <c r="AB28" s="56">
        <f t="shared" si="15"/>
        <v>1.1087353552697993E-3</v>
      </c>
      <c r="AC28" s="56">
        <f t="shared" si="16"/>
        <v>1108.7353552697994</v>
      </c>
      <c r="AD28" s="55">
        <f t="shared" si="17"/>
        <v>14.620972209806897</v>
      </c>
    </row>
    <row r="29" spans="1:30" x14ac:dyDescent="0.25">
      <c r="A29" s="56" t="s">
        <v>156</v>
      </c>
      <c r="B29" s="56" t="s">
        <v>309</v>
      </c>
      <c r="C29" s="56">
        <v>1.12E-2</v>
      </c>
      <c r="D29" s="56">
        <v>4.71</v>
      </c>
      <c r="E29" s="56">
        <v>2.3199999999999998</v>
      </c>
      <c r="F29" s="56">
        <v>1</v>
      </c>
      <c r="G29" s="56">
        <v>4.72</v>
      </c>
      <c r="H29" s="56">
        <v>2.31</v>
      </c>
      <c r="I29" s="56">
        <v>0.99</v>
      </c>
      <c r="J29" s="56">
        <v>4.71</v>
      </c>
      <c r="K29" s="56">
        <v>2.2999999999999998</v>
      </c>
      <c r="L29" s="56">
        <v>0.99</v>
      </c>
      <c r="M29" s="56">
        <f t="shared" si="0"/>
        <v>4.7133333333333338</v>
      </c>
      <c r="N29" s="56">
        <f t="shared" si="1"/>
        <v>2.31</v>
      </c>
      <c r="O29" s="56">
        <f t="shared" si="2"/>
        <v>0.99333333333333329</v>
      </c>
      <c r="P29" s="56">
        <f t="shared" si="3"/>
        <v>5.7735026918961348E-3</v>
      </c>
      <c r="Q29" s="56">
        <f t="shared" si="4"/>
        <v>1.0000000000000009E-2</v>
      </c>
      <c r="R29" s="56">
        <f t="shared" si="5"/>
        <v>5.7735026918962623E-3</v>
      </c>
      <c r="S29" s="56">
        <f t="shared" si="6"/>
        <v>8.5822028110765967</v>
      </c>
      <c r="T29" s="56">
        <f t="shared" si="7"/>
        <v>8.4777197226035064</v>
      </c>
      <c r="U29" s="56">
        <f t="shared" si="8"/>
        <v>8.4231361210437097</v>
      </c>
      <c r="V29" s="56">
        <f t="shared" si="9"/>
        <v>8.4943528849079382</v>
      </c>
      <c r="W29" s="56">
        <f t="shared" si="10"/>
        <v>1.3050262556770099E-3</v>
      </c>
      <c r="X29" s="56">
        <f t="shared" si="11"/>
        <v>1.3211099642912567E-3</v>
      </c>
      <c r="Y29" s="56">
        <f t="shared" si="12"/>
        <v>1.3296710202769712E-3</v>
      </c>
      <c r="Z29" s="56">
        <f t="shared" si="13"/>
        <v>1.3186024134150792E-3</v>
      </c>
      <c r="AA29" s="56">
        <f t="shared" si="14"/>
        <v>8.4943528849079382</v>
      </c>
      <c r="AB29" s="56">
        <f t="shared" si="15"/>
        <v>1.3185230413371724E-3</v>
      </c>
      <c r="AC29" s="56">
        <f t="shared" si="16"/>
        <v>1318.5230413371723</v>
      </c>
      <c r="AD29" s="55">
        <f t="shared" si="17"/>
        <v>23.972551061747634</v>
      </c>
    </row>
    <row r="30" spans="1:30" x14ac:dyDescent="0.25">
      <c r="A30" s="56" t="s">
        <v>156</v>
      </c>
      <c r="B30" s="56" t="s">
        <v>308</v>
      </c>
      <c r="C30" s="56">
        <v>1.0800000000000001E-2</v>
      </c>
      <c r="D30" s="56">
        <v>4.74</v>
      </c>
      <c r="E30" s="56">
        <v>2.33</v>
      </c>
      <c r="F30" s="56">
        <v>0.98</v>
      </c>
      <c r="G30" s="56">
        <v>4.7300000000000004</v>
      </c>
      <c r="H30" s="56">
        <v>2.3199999999999998</v>
      </c>
      <c r="I30" s="56">
        <v>1</v>
      </c>
      <c r="J30" s="56">
        <v>4.72</v>
      </c>
      <c r="K30" s="56">
        <v>2.33</v>
      </c>
      <c r="L30" s="56">
        <v>1</v>
      </c>
      <c r="M30" s="56">
        <f t="shared" si="0"/>
        <v>4.7300000000000004</v>
      </c>
      <c r="N30" s="56">
        <f t="shared" si="1"/>
        <v>2.3266666666666667</v>
      </c>
      <c r="O30" s="56">
        <f t="shared" si="2"/>
        <v>0.99333333333333329</v>
      </c>
      <c r="P30" s="56">
        <f t="shared" si="3"/>
        <v>1.0000000000000231E-2</v>
      </c>
      <c r="Q30" s="56">
        <f t="shared" si="4"/>
        <v>5.7735026918963907E-3</v>
      </c>
      <c r="R30" s="56">
        <f t="shared" si="5"/>
        <v>1.1547005383792525E-2</v>
      </c>
      <c r="S30" s="56">
        <f t="shared" si="6"/>
        <v>8.5006125082702155</v>
      </c>
      <c r="T30" s="56">
        <f t="shared" si="7"/>
        <v>8.6186452858582374</v>
      </c>
      <c r="U30" s="56">
        <f t="shared" si="8"/>
        <v>8.6374948417797768</v>
      </c>
      <c r="V30" s="56">
        <f t="shared" si="9"/>
        <v>8.5855842119694099</v>
      </c>
      <c r="W30" s="56">
        <f t="shared" si="10"/>
        <v>1.2704966835616516E-3</v>
      </c>
      <c r="X30" s="56">
        <f t="shared" si="11"/>
        <v>1.2530971680341694E-3</v>
      </c>
      <c r="Y30" s="56">
        <f t="shared" si="12"/>
        <v>1.2503625412035133E-3</v>
      </c>
      <c r="Z30" s="56">
        <f t="shared" si="13"/>
        <v>1.2579854642664446E-3</v>
      </c>
      <c r="AA30" s="56">
        <f t="shared" si="14"/>
        <v>8.5855842119694099</v>
      </c>
      <c r="AB30" s="56">
        <f t="shared" si="15"/>
        <v>1.2579225517284438E-3</v>
      </c>
      <c r="AC30" s="56">
        <f t="shared" si="16"/>
        <v>1257.9225517284438</v>
      </c>
      <c r="AD30" s="55">
        <f t="shared" si="17"/>
        <v>24.267337172409476</v>
      </c>
    </row>
    <row r="31" spans="1:30" ht="17.45" customHeight="1" x14ac:dyDescent="0.25">
      <c r="A31" s="56" t="s">
        <v>156</v>
      </c>
      <c r="B31" s="56" t="s">
        <v>307</v>
      </c>
      <c r="C31" s="56">
        <v>6.6E-3</v>
      </c>
      <c r="D31" s="56">
        <v>3.76</v>
      </c>
      <c r="E31" s="56">
        <v>1.79</v>
      </c>
      <c r="F31" s="56">
        <v>0.96</v>
      </c>
      <c r="G31" s="56">
        <v>3.75</v>
      </c>
      <c r="H31" s="56">
        <v>1.79</v>
      </c>
      <c r="I31" s="56">
        <v>0.99</v>
      </c>
      <c r="J31" s="56">
        <v>3.76</v>
      </c>
      <c r="K31" s="56">
        <v>1.78</v>
      </c>
      <c r="L31" s="56">
        <v>0.98</v>
      </c>
      <c r="M31" s="56">
        <f t="shared" si="0"/>
        <v>3.7566666666666664</v>
      </c>
      <c r="N31" s="56">
        <f t="shared" si="1"/>
        <v>1.7866666666666668</v>
      </c>
      <c r="O31" s="56">
        <f t="shared" si="2"/>
        <v>0.97666666666666657</v>
      </c>
      <c r="P31" s="56">
        <f t="shared" si="3"/>
        <v>5.7735026918961348E-3</v>
      </c>
      <c r="Q31" s="56">
        <f t="shared" si="4"/>
        <v>5.7735026918962632E-3</v>
      </c>
      <c r="R31" s="56">
        <f t="shared" si="5"/>
        <v>1.527525231651948E-2</v>
      </c>
      <c r="S31" s="56">
        <f t="shared" si="6"/>
        <v>5.074602046972978</v>
      </c>
      <c r="T31" s="56">
        <f t="shared" si="7"/>
        <v>5.2192653200873176</v>
      </c>
      <c r="U31" s="56">
        <f t="shared" si="8"/>
        <v>5.151382571426713</v>
      </c>
      <c r="V31" s="56">
        <f t="shared" si="9"/>
        <v>5.1484166461623362</v>
      </c>
      <c r="W31" s="56">
        <f t="shared" si="10"/>
        <v>1.3005945961687632E-3</v>
      </c>
      <c r="X31" s="56">
        <f t="shared" si="11"/>
        <v>1.264545792412328E-3</v>
      </c>
      <c r="Y31" s="56">
        <f t="shared" si="12"/>
        <v>1.2812094439672108E-3</v>
      </c>
      <c r="Z31" s="56">
        <f t="shared" si="13"/>
        <v>1.282116610849434E-3</v>
      </c>
      <c r="AA31" s="56">
        <f t="shared" si="14"/>
        <v>5.1484166461623362</v>
      </c>
      <c r="AB31" s="56">
        <f t="shared" si="15"/>
        <v>1.2819475294253203E-3</v>
      </c>
      <c r="AC31" s="56">
        <f t="shared" si="16"/>
        <v>1281.9475294253202</v>
      </c>
      <c r="AD31" s="55">
        <f t="shared" si="17"/>
        <v>15.51053162296337</v>
      </c>
    </row>
    <row r="32" spans="1:30" x14ac:dyDescent="0.25">
      <c r="A32" s="56" t="s">
        <v>156</v>
      </c>
      <c r="B32" s="56" t="s">
        <v>306</v>
      </c>
      <c r="C32" s="56">
        <v>4.0000000000000001E-3</v>
      </c>
      <c r="D32" s="56">
        <v>1.71</v>
      </c>
      <c r="E32" s="56">
        <v>0.77</v>
      </c>
      <c r="F32" s="56">
        <v>2.89</v>
      </c>
      <c r="G32" s="56">
        <v>1.69</v>
      </c>
      <c r="H32" s="56">
        <v>0.77</v>
      </c>
      <c r="I32" s="56">
        <v>2.88</v>
      </c>
      <c r="J32" s="56">
        <v>1.7</v>
      </c>
      <c r="K32" s="56">
        <v>0.79</v>
      </c>
      <c r="L32" s="56">
        <v>2.89</v>
      </c>
      <c r="M32" s="56">
        <f t="shared" si="0"/>
        <v>1.7</v>
      </c>
      <c r="N32" s="56">
        <f t="shared" si="1"/>
        <v>0.77666666666666673</v>
      </c>
      <c r="O32" s="56">
        <f t="shared" si="2"/>
        <v>2.8866666666666667</v>
      </c>
      <c r="P32" s="56">
        <f t="shared" si="3"/>
        <v>1.0000000000000009E-2</v>
      </c>
      <c r="Q32" s="56">
        <f t="shared" si="4"/>
        <v>1.1547005383792525E-2</v>
      </c>
      <c r="R32" s="56">
        <f t="shared" si="5"/>
        <v>5.7735026918963907E-3</v>
      </c>
      <c r="S32" s="56">
        <f t="shared" si="6"/>
        <v>2.988646571444264</v>
      </c>
      <c r="T32" s="56">
        <f t="shared" si="7"/>
        <v>2.9434712544838062</v>
      </c>
      <c r="U32" s="56">
        <f t="shared" si="8"/>
        <v>3.0483423296496137</v>
      </c>
      <c r="V32" s="56">
        <f t="shared" si="9"/>
        <v>2.9934867185258951</v>
      </c>
      <c r="W32" s="56">
        <f t="shared" si="10"/>
        <v>1.3383984704712004E-3</v>
      </c>
      <c r="X32" s="56">
        <f t="shared" si="11"/>
        <v>1.3589397191859027E-3</v>
      </c>
      <c r="Y32" s="56">
        <f t="shared" si="12"/>
        <v>1.3121885823301784E-3</v>
      </c>
      <c r="Z32" s="56">
        <f t="shared" si="13"/>
        <v>1.3365089239957605E-3</v>
      </c>
      <c r="AA32" s="56">
        <f t="shared" si="14"/>
        <v>2.9934867185258951</v>
      </c>
      <c r="AB32" s="56">
        <f t="shared" si="15"/>
        <v>1.3362344236388494E-3</v>
      </c>
      <c r="AC32" s="56">
        <f t="shared" si="16"/>
        <v>1336.2344236388494</v>
      </c>
      <c r="AD32" s="55">
        <f t="shared" si="17"/>
        <v>8.9384245114086411</v>
      </c>
    </row>
    <row r="33" spans="1:30" x14ac:dyDescent="0.25">
      <c r="A33" s="56" t="s">
        <v>156</v>
      </c>
      <c r="B33" s="56" t="s">
        <v>305</v>
      </c>
      <c r="C33" s="56">
        <v>7.0000000000000001E-3</v>
      </c>
      <c r="D33" s="56">
        <v>2.67</v>
      </c>
      <c r="E33" s="56">
        <v>1.33</v>
      </c>
      <c r="F33" s="56">
        <v>2.2799999999999998</v>
      </c>
      <c r="G33" s="56">
        <v>2.67</v>
      </c>
      <c r="H33" s="56">
        <v>1.34</v>
      </c>
      <c r="I33" s="56">
        <v>2.29</v>
      </c>
      <c r="J33" s="56">
        <v>2.66</v>
      </c>
      <c r="K33" s="56">
        <v>1.33</v>
      </c>
      <c r="L33" s="56">
        <v>2.27</v>
      </c>
      <c r="M33" s="56">
        <f t="shared" si="0"/>
        <v>2.6666666666666665</v>
      </c>
      <c r="N33" s="56">
        <f t="shared" si="1"/>
        <v>1.3333333333333333</v>
      </c>
      <c r="O33" s="56">
        <f t="shared" si="2"/>
        <v>2.2799999999999998</v>
      </c>
      <c r="P33" s="56">
        <f t="shared" si="3"/>
        <v>5.7735026918961348E-3</v>
      </c>
      <c r="Q33" s="56">
        <f t="shared" si="4"/>
        <v>5.7735026918962632E-3</v>
      </c>
      <c r="R33" s="56">
        <f t="shared" si="5"/>
        <v>1.0000000000000009E-2</v>
      </c>
      <c r="S33" s="56">
        <f t="shared" si="6"/>
        <v>6.3589825131327462</v>
      </c>
      <c r="T33" s="56">
        <f t="shared" si="7"/>
        <v>6.4348943872177653</v>
      </c>
      <c r="U33" s="56">
        <f t="shared" si="8"/>
        <v>6.3073802830012085</v>
      </c>
      <c r="V33" s="56">
        <f t="shared" si="9"/>
        <v>6.3670857277839064</v>
      </c>
      <c r="W33" s="56">
        <f t="shared" si="10"/>
        <v>1.1008050400427123E-3</v>
      </c>
      <c r="X33" s="56">
        <f t="shared" si="11"/>
        <v>1.0878189413496447E-3</v>
      </c>
      <c r="Y33" s="56">
        <f t="shared" si="12"/>
        <v>1.1098109969467746E-3</v>
      </c>
      <c r="Z33" s="56">
        <f t="shared" si="13"/>
        <v>1.0994783261130438E-3</v>
      </c>
      <c r="AA33" s="56">
        <f t="shared" si="14"/>
        <v>6.3670857277839064</v>
      </c>
      <c r="AB33" s="56">
        <f t="shared" si="15"/>
        <v>1.0994040757852938E-3</v>
      </c>
      <c r="AC33" s="56">
        <f t="shared" si="16"/>
        <v>1099.4040757852938</v>
      </c>
      <c r="AD33" s="55">
        <f t="shared" si="17"/>
        <v>15.135495273294826</v>
      </c>
    </row>
    <row r="34" spans="1:30" x14ac:dyDescent="0.25">
      <c r="A34" s="56" t="s">
        <v>156</v>
      </c>
      <c r="B34" s="56" t="s">
        <v>304</v>
      </c>
      <c r="C34" s="56">
        <v>3.3E-3</v>
      </c>
      <c r="D34" s="56">
        <v>2.71</v>
      </c>
      <c r="E34" s="56">
        <v>1</v>
      </c>
      <c r="F34" s="56">
        <v>1.02</v>
      </c>
      <c r="G34" s="56">
        <v>2.71</v>
      </c>
      <c r="H34" s="56">
        <v>1.35</v>
      </c>
      <c r="I34" s="56">
        <v>0.99</v>
      </c>
      <c r="J34" s="56">
        <v>2.7</v>
      </c>
      <c r="K34" s="56">
        <v>1.33</v>
      </c>
      <c r="L34" s="56">
        <v>0.98</v>
      </c>
      <c r="M34" s="56">
        <f t="shared" si="0"/>
        <v>2.706666666666667</v>
      </c>
      <c r="N34" s="56">
        <f t="shared" si="1"/>
        <v>1.2266666666666668</v>
      </c>
      <c r="O34" s="56">
        <f t="shared" si="2"/>
        <v>0.99666666666666659</v>
      </c>
      <c r="P34" s="56">
        <f t="shared" si="3"/>
        <v>5.7735026918961348E-3</v>
      </c>
      <c r="Q34" s="56">
        <f t="shared" si="4"/>
        <v>0.19655363983740748</v>
      </c>
      <c r="R34" s="56">
        <f t="shared" si="5"/>
        <v>2.0816659994661344E-2</v>
      </c>
      <c r="S34" s="56">
        <f t="shared" si="6"/>
        <v>2.1709976032632263</v>
      </c>
      <c r="T34" s="56">
        <f t="shared" si="7"/>
        <v>2.844645388981669</v>
      </c>
      <c r="U34" s="56">
        <f t="shared" si="8"/>
        <v>2.7639575086650323</v>
      </c>
      <c r="V34" s="56">
        <f t="shared" si="9"/>
        <v>2.593200166969976</v>
      </c>
      <c r="W34" s="56">
        <f t="shared" si="10"/>
        <v>1.5200385274676354E-3</v>
      </c>
      <c r="X34" s="56">
        <f t="shared" si="11"/>
        <v>1.1600742970572298E-3</v>
      </c>
      <c r="Y34" s="56">
        <f t="shared" si="12"/>
        <v>1.1939402069874336E-3</v>
      </c>
      <c r="Z34" s="56">
        <f t="shared" si="13"/>
        <v>1.2913510105040996E-3</v>
      </c>
      <c r="AA34" s="56">
        <f t="shared" si="14"/>
        <v>2.593200166969976</v>
      </c>
      <c r="AB34" s="56">
        <f t="shared" si="15"/>
        <v>1.2725589185257086E-3</v>
      </c>
      <c r="AC34" s="56">
        <f t="shared" si="16"/>
        <v>1272.5589185257086</v>
      </c>
      <c r="AD34" s="55">
        <f t="shared" si="17"/>
        <v>8.5680307375504032</v>
      </c>
    </row>
    <row r="35" spans="1:30" x14ac:dyDescent="0.25">
      <c r="A35" s="56" t="s">
        <v>156</v>
      </c>
      <c r="B35" s="56" t="s">
        <v>303</v>
      </c>
      <c r="C35" s="56">
        <v>3.0999999999999999E-3</v>
      </c>
      <c r="D35" s="56">
        <v>1.66</v>
      </c>
      <c r="E35" s="56">
        <v>0.8</v>
      </c>
      <c r="F35" s="56">
        <v>2.86</v>
      </c>
      <c r="G35" s="56">
        <v>1.66</v>
      </c>
      <c r="H35" s="56">
        <v>0.8</v>
      </c>
      <c r="I35" s="56">
        <v>2.86</v>
      </c>
      <c r="J35" s="56">
        <v>1.66</v>
      </c>
      <c r="K35" s="56">
        <v>0.78</v>
      </c>
      <c r="L35" s="56">
        <v>2.86</v>
      </c>
      <c r="M35" s="56">
        <f t="shared" ref="M35:M52" si="18">AVERAGE(D35,G35,J35)</f>
        <v>1.66</v>
      </c>
      <c r="N35" s="56">
        <f t="shared" ref="N35:N52" si="19">AVERAGE(E35,H35,K35)</f>
        <v>0.79333333333333333</v>
      </c>
      <c r="O35" s="56">
        <f t="shared" ref="O35:O52" si="20">AVERAGE(F35,I35,L35)</f>
        <v>2.86</v>
      </c>
      <c r="P35" s="56">
        <f t="shared" ref="P35:P52" si="21">_xlfn.STDEV.S(D35,G35,J35)</f>
        <v>0</v>
      </c>
      <c r="Q35" s="56">
        <f t="shared" ref="Q35:Q52" si="22">_xlfn.STDEV.S(E35,H35,K35)</f>
        <v>1.1547005383792525E-2</v>
      </c>
      <c r="R35" s="56">
        <f t="shared" ref="R35:R52" si="23">_xlfn.STDEV.S(F35,I35,L35)</f>
        <v>0</v>
      </c>
      <c r="S35" s="56">
        <f t="shared" ref="S35:S52" si="24">PI()*((D35/2)*E35)/2*F35</f>
        <v>2.9830050564365802</v>
      </c>
      <c r="T35" s="56">
        <f t="shared" ref="T35:T52" si="25">PI()*((G35/2)*H35)/2*I35</f>
        <v>2.9830050564365802</v>
      </c>
      <c r="U35" s="56">
        <f t="shared" ref="U35:U52" si="26">PI()*((J35/2)*K35)/2*L35</f>
        <v>2.9084299300256657</v>
      </c>
      <c r="V35" s="56">
        <f t="shared" ref="V35:V66" si="27">AVERAGE(S35:U35)</f>
        <v>2.9581466809662751</v>
      </c>
      <c r="W35" s="56">
        <f t="shared" ref="W35:W52" si="28">C35/S35</f>
        <v>1.0392204979039422E-3</v>
      </c>
      <c r="X35" s="56">
        <f t="shared" ref="X35:X52" si="29">C35/T35</f>
        <v>1.0392204979039422E-3</v>
      </c>
      <c r="Y35" s="56">
        <f t="shared" ref="Y35:Y52" si="30">C35/U35</f>
        <v>1.0658671773373766E-3</v>
      </c>
      <c r="Z35" s="56">
        <f t="shared" ref="Z35:Z66" si="31">AVERAGE(W35:Y35)</f>
        <v>1.0481027243817538E-3</v>
      </c>
      <c r="AA35" s="56">
        <f t="shared" ref="AA35:AA52" si="32">V35</f>
        <v>2.9581466809662751</v>
      </c>
      <c r="AB35" s="56">
        <f t="shared" ref="AB35:AB66" si="33">C35/AA35</f>
        <v>1.0479534432644795E-3</v>
      </c>
      <c r="AC35" s="56">
        <f t="shared" ref="AC35:AC66" si="34">AB35*10^6</f>
        <v>1047.9534432644796</v>
      </c>
      <c r="AD35" s="55">
        <f t="shared" ref="AD35:AD52" si="35">((2*PI()*N35^2)+(2*PI()*N35*O35))/2</f>
        <v>9.1053128944843369</v>
      </c>
    </row>
    <row r="36" spans="1:30" x14ac:dyDescent="0.25">
      <c r="A36" s="56" t="s">
        <v>156</v>
      </c>
      <c r="B36" s="56" t="s">
        <v>302</v>
      </c>
      <c r="C36" s="56">
        <v>6.7000000000000002E-3</v>
      </c>
      <c r="D36" s="56">
        <v>3.73</v>
      </c>
      <c r="E36" s="56">
        <v>1.74</v>
      </c>
      <c r="F36" s="56">
        <v>1.02</v>
      </c>
      <c r="G36" s="56">
        <v>3.75</v>
      </c>
      <c r="H36" s="56">
        <v>1.73</v>
      </c>
      <c r="I36" s="56">
        <v>1.01</v>
      </c>
      <c r="J36" s="56">
        <v>3.75</v>
      </c>
      <c r="K36" s="56">
        <v>1.73</v>
      </c>
      <c r="L36" s="56">
        <v>1.01</v>
      </c>
      <c r="M36" s="56">
        <f t="shared" si="18"/>
        <v>3.7433333333333336</v>
      </c>
      <c r="N36" s="56">
        <f t="shared" si="19"/>
        <v>1.7333333333333332</v>
      </c>
      <c r="O36" s="56">
        <f t="shared" si="20"/>
        <v>1.0133333333333334</v>
      </c>
      <c r="P36" s="56">
        <f t="shared" si="21"/>
        <v>1.1547005383792526E-2</v>
      </c>
      <c r="Q36" s="56">
        <f t="shared" si="22"/>
        <v>5.7735026918962632E-3</v>
      </c>
      <c r="R36" s="56">
        <f t="shared" si="23"/>
        <v>5.7735026918962632E-3</v>
      </c>
      <c r="S36" s="56">
        <f t="shared" si="24"/>
        <v>5.1993389832837611</v>
      </c>
      <c r="T36" s="56">
        <f t="shared" si="25"/>
        <v>5.1462232908913554</v>
      </c>
      <c r="U36" s="56">
        <f t="shared" si="26"/>
        <v>5.1462232908913554</v>
      </c>
      <c r="V36" s="56">
        <f t="shared" si="27"/>
        <v>5.163928521688824</v>
      </c>
      <c r="W36" s="56">
        <f t="shared" si="28"/>
        <v>1.2886253467106047E-3</v>
      </c>
      <c r="X36" s="56">
        <f t="shared" si="29"/>
        <v>1.3019256299777698E-3</v>
      </c>
      <c r="Y36" s="56">
        <f t="shared" si="30"/>
        <v>1.3019256299777698E-3</v>
      </c>
      <c r="Z36" s="56">
        <f t="shared" si="31"/>
        <v>1.2974922022220483E-3</v>
      </c>
      <c r="AA36" s="56">
        <f t="shared" si="32"/>
        <v>5.163928521688824</v>
      </c>
      <c r="AB36" s="56">
        <f t="shared" si="33"/>
        <v>1.297461801002779E-3</v>
      </c>
      <c r="AC36" s="56">
        <f t="shared" si="34"/>
        <v>1297.4618010027791</v>
      </c>
      <c r="AD36" s="55">
        <f t="shared" si="35"/>
        <v>14.956773557890603</v>
      </c>
    </row>
    <row r="37" spans="1:30" x14ac:dyDescent="0.25">
      <c r="A37" s="56" t="s">
        <v>156</v>
      </c>
      <c r="B37" s="56" t="s">
        <v>301</v>
      </c>
      <c r="C37" s="56">
        <v>3.7000000000000002E-3</v>
      </c>
      <c r="D37" s="56">
        <v>2.85</v>
      </c>
      <c r="E37" s="56">
        <v>1.27</v>
      </c>
      <c r="F37" s="56">
        <v>1.02</v>
      </c>
      <c r="G37" s="56">
        <v>2.83</v>
      </c>
      <c r="H37" s="56">
        <v>1.28</v>
      </c>
      <c r="I37" s="56">
        <v>1.01</v>
      </c>
      <c r="J37" s="56">
        <v>2.82</v>
      </c>
      <c r="K37" s="56">
        <v>1.29</v>
      </c>
      <c r="L37" s="56">
        <v>1.01</v>
      </c>
      <c r="M37" s="56">
        <f t="shared" si="18"/>
        <v>2.8333333333333335</v>
      </c>
      <c r="N37" s="56">
        <f t="shared" si="19"/>
        <v>1.28</v>
      </c>
      <c r="O37" s="56">
        <f t="shared" si="20"/>
        <v>1.0133333333333334</v>
      </c>
      <c r="P37" s="56">
        <f t="shared" si="21"/>
        <v>1.5275252316519579E-2</v>
      </c>
      <c r="Q37" s="56">
        <f t="shared" si="22"/>
        <v>1.0000000000000009E-2</v>
      </c>
      <c r="R37" s="56">
        <f t="shared" si="23"/>
        <v>5.7735026918962632E-3</v>
      </c>
      <c r="S37" s="56">
        <f t="shared" si="24"/>
        <v>2.8996036254654056</v>
      </c>
      <c r="T37" s="56">
        <f t="shared" si="25"/>
        <v>2.8734765701618263</v>
      </c>
      <c r="U37" s="56">
        <f t="shared" si="26"/>
        <v>2.88569265319531</v>
      </c>
      <c r="V37" s="56">
        <f t="shared" si="27"/>
        <v>2.8862576162741806</v>
      </c>
      <c r="W37" s="56">
        <f t="shared" si="28"/>
        <v>1.2760364787466859E-3</v>
      </c>
      <c r="X37" s="56">
        <f t="shared" si="29"/>
        <v>1.287638826925123E-3</v>
      </c>
      <c r="Y37" s="56">
        <f t="shared" si="30"/>
        <v>1.2821878296370242E-3</v>
      </c>
      <c r="Z37" s="56">
        <f t="shared" si="31"/>
        <v>1.2819543784362776E-3</v>
      </c>
      <c r="AA37" s="56">
        <f t="shared" si="32"/>
        <v>2.8862576162741806</v>
      </c>
      <c r="AB37" s="56">
        <f t="shared" si="33"/>
        <v>1.2819368510757765E-3</v>
      </c>
      <c r="AC37" s="56">
        <f t="shared" si="34"/>
        <v>1281.9368510757765</v>
      </c>
      <c r="AD37" s="55">
        <f t="shared" si="35"/>
        <v>9.2220405148577189</v>
      </c>
    </row>
    <row r="38" spans="1:30" x14ac:dyDescent="0.25">
      <c r="A38" s="56" t="s">
        <v>156</v>
      </c>
      <c r="B38" s="56" t="s">
        <v>300</v>
      </c>
      <c r="C38" s="56">
        <v>3.5000000000000001E-3</v>
      </c>
      <c r="D38" s="56">
        <v>1.64</v>
      </c>
      <c r="E38" s="56">
        <v>0.8</v>
      </c>
      <c r="F38" s="56">
        <v>2.88</v>
      </c>
      <c r="G38" s="56">
        <v>1.66</v>
      </c>
      <c r="H38" s="56">
        <v>0.8</v>
      </c>
      <c r="I38" s="56">
        <v>2.88</v>
      </c>
      <c r="J38" s="56">
        <v>1.64</v>
      </c>
      <c r="K38" s="56">
        <v>0.8</v>
      </c>
      <c r="L38" s="56">
        <v>2.88</v>
      </c>
      <c r="M38" s="56">
        <f t="shared" si="18"/>
        <v>1.6466666666666665</v>
      </c>
      <c r="N38" s="56">
        <f t="shared" si="19"/>
        <v>0.80000000000000016</v>
      </c>
      <c r="O38" s="56">
        <f t="shared" si="20"/>
        <v>2.8800000000000003</v>
      </c>
      <c r="P38" s="56">
        <f t="shared" si="21"/>
        <v>1.1547005383792525E-2</v>
      </c>
      <c r="Q38" s="56">
        <f t="shared" si="22"/>
        <v>1.3597399555105182E-16</v>
      </c>
      <c r="R38" s="56">
        <f t="shared" si="23"/>
        <v>5.4389598220420729E-16</v>
      </c>
      <c r="S38" s="56">
        <f t="shared" si="24"/>
        <v>2.9676740842870624</v>
      </c>
      <c r="T38" s="56">
        <f t="shared" si="25"/>
        <v>3.0038652316564165</v>
      </c>
      <c r="U38" s="56">
        <f t="shared" si="26"/>
        <v>2.9676740842870624</v>
      </c>
      <c r="V38" s="56">
        <f t="shared" si="27"/>
        <v>2.9797378000768475</v>
      </c>
      <c r="W38" s="56">
        <f t="shared" si="28"/>
        <v>1.1793747900187028E-3</v>
      </c>
      <c r="X38" s="56">
        <f t="shared" si="29"/>
        <v>1.1651654551992003E-3</v>
      </c>
      <c r="Y38" s="56">
        <f t="shared" si="30"/>
        <v>1.1793747900187028E-3</v>
      </c>
      <c r="Z38" s="56">
        <f t="shared" si="31"/>
        <v>1.1746383450788687E-3</v>
      </c>
      <c r="AA38" s="56">
        <f t="shared" si="32"/>
        <v>2.9797378000768475</v>
      </c>
      <c r="AB38" s="56">
        <f t="shared" si="33"/>
        <v>1.1745999932979792E-3</v>
      </c>
      <c r="AC38" s="56">
        <f t="shared" si="34"/>
        <v>1174.5999932979792</v>
      </c>
      <c r="AD38" s="55">
        <f t="shared" si="35"/>
        <v>9.248848772168353</v>
      </c>
    </row>
    <row r="39" spans="1:30" x14ac:dyDescent="0.25">
      <c r="A39" s="56" t="s">
        <v>156</v>
      </c>
      <c r="B39" s="56" t="s">
        <v>299</v>
      </c>
      <c r="C39" s="56">
        <v>6.7999999999999996E-3</v>
      </c>
      <c r="D39" s="56">
        <v>3.72</v>
      </c>
      <c r="E39" s="56">
        <v>1.81</v>
      </c>
      <c r="F39" s="56">
        <v>1.03</v>
      </c>
      <c r="G39" s="56">
        <v>3.7</v>
      </c>
      <c r="H39" s="56">
        <v>1.78</v>
      </c>
      <c r="I39" s="56">
        <v>1.02</v>
      </c>
      <c r="J39" s="56">
        <v>3.69</v>
      </c>
      <c r="K39" s="56">
        <v>1.81</v>
      </c>
      <c r="L39" s="56">
        <v>1.02</v>
      </c>
      <c r="M39" s="56">
        <f t="shared" si="18"/>
        <v>3.7033333333333331</v>
      </c>
      <c r="N39" s="56">
        <f t="shared" si="19"/>
        <v>1.8</v>
      </c>
      <c r="O39" s="56">
        <f t="shared" si="20"/>
        <v>1.0233333333333332</v>
      </c>
      <c r="P39" s="56">
        <f t="shared" si="21"/>
        <v>1.5275252316519577E-2</v>
      </c>
      <c r="Q39" s="56">
        <f t="shared" si="22"/>
        <v>1.7320508075688787E-2</v>
      </c>
      <c r="R39" s="56">
        <f t="shared" si="23"/>
        <v>5.7735026918962632E-3</v>
      </c>
      <c r="S39" s="56">
        <f t="shared" si="24"/>
        <v>5.4468902012013301</v>
      </c>
      <c r="T39" s="56">
        <f t="shared" si="25"/>
        <v>5.2760849502183058</v>
      </c>
      <c r="U39" s="56">
        <f t="shared" si="26"/>
        <v>5.3505077093855222</v>
      </c>
      <c r="V39" s="56">
        <f t="shared" si="27"/>
        <v>5.3578276202683854</v>
      </c>
      <c r="W39" s="56">
        <f t="shared" si="28"/>
        <v>1.2484187763689889E-3</v>
      </c>
      <c r="X39" s="56">
        <f t="shared" si="29"/>
        <v>1.2888344414770348E-3</v>
      </c>
      <c r="Y39" s="56">
        <f t="shared" si="30"/>
        <v>1.2709074296018432E-3</v>
      </c>
      <c r="Z39" s="56">
        <f t="shared" si="31"/>
        <v>1.2693868824826223E-3</v>
      </c>
      <c r="AA39" s="56">
        <f t="shared" si="32"/>
        <v>5.3578276202683854</v>
      </c>
      <c r="AB39" s="56">
        <f t="shared" si="33"/>
        <v>1.2691711047731267E-3</v>
      </c>
      <c r="AC39" s="56">
        <f t="shared" si="34"/>
        <v>1269.1711047731267</v>
      </c>
      <c r="AD39" s="55">
        <f t="shared" si="35"/>
        <v>15.965573865543329</v>
      </c>
    </row>
    <row r="40" spans="1:30" x14ac:dyDescent="0.25">
      <c r="A40" s="56" t="s">
        <v>156</v>
      </c>
      <c r="B40" s="56" t="s">
        <v>298</v>
      </c>
      <c r="C40" s="56">
        <v>1.0999999999999999E-2</v>
      </c>
      <c r="D40" s="56">
        <v>4.71</v>
      </c>
      <c r="E40" s="56">
        <v>2.31</v>
      </c>
      <c r="F40" s="56">
        <v>1.02</v>
      </c>
      <c r="G40" s="56">
        <v>4.71</v>
      </c>
      <c r="H40" s="56">
        <v>2.31</v>
      </c>
      <c r="I40" s="56">
        <v>1.01</v>
      </c>
      <c r="J40" s="56">
        <v>4.71</v>
      </c>
      <c r="K40" s="56">
        <v>2.2999999999999998</v>
      </c>
      <c r="L40" s="56">
        <v>1.02</v>
      </c>
      <c r="M40" s="56">
        <f t="shared" si="18"/>
        <v>4.71</v>
      </c>
      <c r="N40" s="56">
        <f t="shared" si="19"/>
        <v>2.3066666666666666</v>
      </c>
      <c r="O40" s="56">
        <f t="shared" si="20"/>
        <v>1.0166666666666668</v>
      </c>
      <c r="P40" s="56">
        <f t="shared" si="21"/>
        <v>0</v>
      </c>
      <c r="Q40" s="56">
        <f t="shared" si="22"/>
        <v>5.7735026918963907E-3</v>
      </c>
      <c r="R40" s="56">
        <f t="shared" si="23"/>
        <v>5.7735026918962632E-3</v>
      </c>
      <c r="S40" s="56">
        <f t="shared" si="24"/>
        <v>8.71611476873219</v>
      </c>
      <c r="T40" s="56">
        <f t="shared" si="25"/>
        <v>8.6306626631563841</v>
      </c>
      <c r="U40" s="56">
        <f t="shared" si="26"/>
        <v>8.678382670166247</v>
      </c>
      <c r="V40" s="56">
        <f t="shared" si="27"/>
        <v>8.675053367351607</v>
      </c>
      <c r="W40" s="56">
        <f t="shared" si="28"/>
        <v>1.2620301925648019E-3</v>
      </c>
      <c r="X40" s="56">
        <f t="shared" si="29"/>
        <v>1.2745255410060376E-3</v>
      </c>
      <c r="Y40" s="56">
        <f t="shared" si="30"/>
        <v>1.2675172803585622E-3</v>
      </c>
      <c r="Z40" s="56">
        <f t="shared" si="31"/>
        <v>1.2680243379764673E-3</v>
      </c>
      <c r="AA40" s="56">
        <f t="shared" si="32"/>
        <v>8.675053367351607</v>
      </c>
      <c r="AB40" s="56">
        <f t="shared" si="33"/>
        <v>1.2680037268010687E-3</v>
      </c>
      <c r="AC40" s="56">
        <f t="shared" si="34"/>
        <v>1268.0037268010688</v>
      </c>
      <c r="AD40" s="55">
        <f t="shared" si="35"/>
        <v>24.082890777058715</v>
      </c>
    </row>
    <row r="41" spans="1:30" x14ac:dyDescent="0.25">
      <c r="A41" s="56" t="s">
        <v>156</v>
      </c>
      <c r="B41" s="56" t="s">
        <v>297</v>
      </c>
      <c r="C41" s="56">
        <v>7.0000000000000001E-3</v>
      </c>
      <c r="D41" s="56">
        <v>3.71</v>
      </c>
      <c r="E41" s="56">
        <v>1.9</v>
      </c>
      <c r="F41" s="56">
        <v>1</v>
      </c>
      <c r="G41" s="56">
        <v>3.71</v>
      </c>
      <c r="H41" s="56">
        <v>1.9</v>
      </c>
      <c r="I41" s="56">
        <v>1</v>
      </c>
      <c r="J41" s="56">
        <v>3.69</v>
      </c>
      <c r="K41" s="56">
        <v>1.89</v>
      </c>
      <c r="L41" s="56">
        <v>1</v>
      </c>
      <c r="M41" s="56">
        <f t="shared" si="18"/>
        <v>3.7033333333333331</v>
      </c>
      <c r="N41" s="56">
        <f t="shared" si="19"/>
        <v>1.8966666666666665</v>
      </c>
      <c r="O41" s="56">
        <f t="shared" si="20"/>
        <v>1</v>
      </c>
      <c r="P41" s="56">
        <f t="shared" si="21"/>
        <v>1.1547005383792526E-2</v>
      </c>
      <c r="Q41" s="56">
        <f t="shared" si="22"/>
        <v>5.7735026918962632E-3</v>
      </c>
      <c r="R41" s="56">
        <f t="shared" si="23"/>
        <v>0</v>
      </c>
      <c r="S41" s="56">
        <f t="shared" si="24"/>
        <v>5.5362716537886127</v>
      </c>
      <c r="T41" s="56">
        <f t="shared" si="25"/>
        <v>5.5362716537886127</v>
      </c>
      <c r="U41" s="56">
        <f t="shared" si="26"/>
        <v>5.4774453313501441</v>
      </c>
      <c r="V41" s="56">
        <f t="shared" si="27"/>
        <v>5.5166628796424568</v>
      </c>
      <c r="W41" s="56">
        <f t="shared" si="28"/>
        <v>1.2643888229743425E-3</v>
      </c>
      <c r="X41" s="56">
        <f t="shared" si="29"/>
        <v>1.2643888229743425E-3</v>
      </c>
      <c r="Y41" s="56">
        <f t="shared" si="30"/>
        <v>1.2779680264329647E-3</v>
      </c>
      <c r="Z41" s="56">
        <f t="shared" si="31"/>
        <v>1.2689152241272166E-3</v>
      </c>
      <c r="AA41" s="56">
        <f t="shared" si="32"/>
        <v>5.5166628796424568</v>
      </c>
      <c r="AB41" s="56">
        <f t="shared" si="33"/>
        <v>1.2688830462762807E-3</v>
      </c>
      <c r="AC41" s="56">
        <f t="shared" si="34"/>
        <v>1268.8830462762808</v>
      </c>
      <c r="AD41" s="55">
        <f t="shared" si="35"/>
        <v>17.259944945407362</v>
      </c>
    </row>
    <row r="42" spans="1:30" x14ac:dyDescent="0.25">
      <c r="A42" s="56" t="s">
        <v>156</v>
      </c>
      <c r="B42" s="56" t="s">
        <v>296</v>
      </c>
      <c r="C42" s="56">
        <v>3.3999999999999998E-3</v>
      </c>
      <c r="D42" s="56">
        <v>1.68</v>
      </c>
      <c r="E42" s="56">
        <v>0.77</v>
      </c>
      <c r="F42" s="56">
        <v>2.87</v>
      </c>
      <c r="G42" s="56">
        <v>1.68</v>
      </c>
      <c r="H42" s="56">
        <v>0.77</v>
      </c>
      <c r="I42" s="56">
        <v>2.86</v>
      </c>
      <c r="J42" s="56">
        <v>1.68</v>
      </c>
      <c r="K42" s="56">
        <v>0.76</v>
      </c>
      <c r="L42" s="56">
        <v>2.86</v>
      </c>
      <c r="M42" s="56">
        <f t="shared" si="18"/>
        <v>1.68</v>
      </c>
      <c r="N42" s="56">
        <f t="shared" si="19"/>
        <v>0.76666666666666661</v>
      </c>
      <c r="O42" s="56">
        <f t="shared" si="20"/>
        <v>2.8633333333333333</v>
      </c>
      <c r="P42" s="56">
        <f t="shared" si="21"/>
        <v>0</v>
      </c>
      <c r="Q42" s="56">
        <f t="shared" si="22"/>
        <v>5.7735026918962632E-3</v>
      </c>
      <c r="R42" s="56">
        <f t="shared" si="23"/>
        <v>5.7735026918963907E-3</v>
      </c>
      <c r="S42" s="56">
        <f t="shared" si="24"/>
        <v>2.9158943541705953</v>
      </c>
      <c r="T42" s="56">
        <f t="shared" si="25"/>
        <v>2.9057344435288859</v>
      </c>
      <c r="U42" s="56">
        <f t="shared" si="26"/>
        <v>2.8679976325739651</v>
      </c>
      <c r="V42" s="56">
        <f t="shared" si="27"/>
        <v>2.8965421434244818</v>
      </c>
      <c r="W42" s="56">
        <f t="shared" si="28"/>
        <v>1.1660230402850465E-3</v>
      </c>
      <c r="X42" s="56">
        <f t="shared" si="29"/>
        <v>1.1701000439224068E-3</v>
      </c>
      <c r="Y42" s="56">
        <f t="shared" si="30"/>
        <v>1.1854960971319122E-3</v>
      </c>
      <c r="Z42" s="56">
        <f t="shared" si="31"/>
        <v>1.1738730604464551E-3</v>
      </c>
      <c r="AA42" s="56">
        <f t="shared" si="32"/>
        <v>2.8965421434244818</v>
      </c>
      <c r="AB42" s="56">
        <f t="shared" si="33"/>
        <v>1.1738134063467474E-3</v>
      </c>
      <c r="AC42" s="56">
        <f t="shared" si="34"/>
        <v>1173.8134063467473</v>
      </c>
      <c r="AD42" s="55">
        <f t="shared" si="35"/>
        <v>8.743052354940394</v>
      </c>
    </row>
    <row r="43" spans="1:30" x14ac:dyDescent="0.25">
      <c r="A43" s="56" t="s">
        <v>156</v>
      </c>
      <c r="B43" s="56" t="s">
        <v>295</v>
      </c>
      <c r="C43" s="56">
        <v>1.4E-2</v>
      </c>
      <c r="D43" s="56">
        <v>3.72</v>
      </c>
      <c r="E43" s="56">
        <v>1.81</v>
      </c>
      <c r="F43" s="56">
        <v>2.2999999999999998</v>
      </c>
      <c r="G43" s="56">
        <v>3.7</v>
      </c>
      <c r="H43" s="56">
        <v>1.82</v>
      </c>
      <c r="I43" s="56">
        <v>2.2999999999999998</v>
      </c>
      <c r="J43" s="56">
        <v>3.72</v>
      </c>
      <c r="K43" s="56">
        <v>1.81</v>
      </c>
      <c r="L43" s="56">
        <v>2.29</v>
      </c>
      <c r="M43" s="56">
        <f t="shared" si="18"/>
        <v>3.7133333333333334</v>
      </c>
      <c r="N43" s="56">
        <f t="shared" si="19"/>
        <v>1.8133333333333332</v>
      </c>
      <c r="O43" s="56">
        <f t="shared" si="20"/>
        <v>2.2966666666666664</v>
      </c>
      <c r="P43" s="56">
        <f t="shared" si="21"/>
        <v>1.1547005383792526E-2</v>
      </c>
      <c r="Q43" s="56">
        <f t="shared" si="22"/>
        <v>5.7735026918962632E-3</v>
      </c>
      <c r="R43" s="56">
        <f t="shared" si="23"/>
        <v>5.7735026918961348E-3</v>
      </c>
      <c r="S43" s="56">
        <f t="shared" si="24"/>
        <v>12.162958701711707</v>
      </c>
      <c r="T43" s="56">
        <f t="shared" si="25"/>
        <v>12.164403834332358</v>
      </c>
      <c r="U43" s="56">
        <f t="shared" si="26"/>
        <v>12.110076272573831</v>
      </c>
      <c r="V43" s="56">
        <f t="shared" si="27"/>
        <v>12.145812936205965</v>
      </c>
      <c r="W43" s="56">
        <f t="shared" si="28"/>
        <v>1.1510357260384157E-3</v>
      </c>
      <c r="X43" s="56">
        <f t="shared" si="29"/>
        <v>1.1508989828574192E-3</v>
      </c>
      <c r="Y43" s="56">
        <f t="shared" si="30"/>
        <v>1.1560620829206795E-3</v>
      </c>
      <c r="Z43" s="56">
        <f t="shared" si="31"/>
        <v>1.1526655972721714E-3</v>
      </c>
      <c r="AA43" s="56">
        <f t="shared" si="32"/>
        <v>12.145812936205965</v>
      </c>
      <c r="AB43" s="56">
        <f t="shared" si="33"/>
        <v>1.1526605978153023E-3</v>
      </c>
      <c r="AC43" s="56">
        <f t="shared" si="34"/>
        <v>1152.6605978153023</v>
      </c>
      <c r="AD43" s="55">
        <f t="shared" si="35"/>
        <v>23.413661728674008</v>
      </c>
    </row>
    <row r="44" spans="1:30" x14ac:dyDescent="0.25">
      <c r="A44" s="56" t="s">
        <v>156</v>
      </c>
      <c r="B44" s="56" t="s">
        <v>294</v>
      </c>
      <c r="C44" s="56">
        <v>2.3599999999999999E-2</v>
      </c>
      <c r="D44" s="56">
        <v>4.72</v>
      </c>
      <c r="E44" s="56">
        <v>2.38</v>
      </c>
      <c r="F44" s="56">
        <v>2.35</v>
      </c>
      <c r="G44" s="56">
        <v>4.74</v>
      </c>
      <c r="H44" s="56">
        <v>2.38</v>
      </c>
      <c r="I44" s="56">
        <v>2.34</v>
      </c>
      <c r="J44" s="56">
        <v>4.75</v>
      </c>
      <c r="K44" s="56">
        <v>2.39</v>
      </c>
      <c r="L44" s="56">
        <v>2.34</v>
      </c>
      <c r="M44" s="56">
        <f t="shared" si="18"/>
        <v>4.7366666666666672</v>
      </c>
      <c r="N44" s="56">
        <f t="shared" si="19"/>
        <v>2.3833333333333333</v>
      </c>
      <c r="O44" s="56">
        <f t="shared" si="20"/>
        <v>2.3433333333333333</v>
      </c>
      <c r="P44" s="56">
        <f t="shared" si="21"/>
        <v>1.5275252316519626E-2</v>
      </c>
      <c r="Q44" s="56">
        <f t="shared" si="22"/>
        <v>5.7735026918963907E-3</v>
      </c>
      <c r="R44" s="56">
        <f t="shared" si="23"/>
        <v>5.7735026918963907E-3</v>
      </c>
      <c r="S44" s="56">
        <f t="shared" si="24"/>
        <v>20.733694699602697</v>
      </c>
      <c r="T44" s="56">
        <f t="shared" si="25"/>
        <v>20.732947000551142</v>
      </c>
      <c r="U44" s="56">
        <f t="shared" si="26"/>
        <v>20.863984400928704</v>
      </c>
      <c r="V44" s="56">
        <f t="shared" si="27"/>
        <v>20.776875367027515</v>
      </c>
      <c r="W44" s="56">
        <f t="shared" si="28"/>
        <v>1.1382438268685525E-3</v>
      </c>
      <c r="X44" s="56">
        <f t="shared" si="29"/>
        <v>1.1382848757281172E-3</v>
      </c>
      <c r="Y44" s="56">
        <f t="shared" si="30"/>
        <v>1.1311358150243589E-3</v>
      </c>
      <c r="Z44" s="56">
        <f t="shared" si="31"/>
        <v>1.135888172540343E-3</v>
      </c>
      <c r="AA44" s="56">
        <f t="shared" si="32"/>
        <v>20.776875367027515</v>
      </c>
      <c r="AB44" s="56">
        <f t="shared" si="33"/>
        <v>1.1358782099378008E-3</v>
      </c>
      <c r="AC44" s="56">
        <f t="shared" si="34"/>
        <v>1135.8782099378006</v>
      </c>
      <c r="AD44" s="55">
        <f t="shared" si="35"/>
        <v>35.390739374389817</v>
      </c>
    </row>
    <row r="45" spans="1:30" x14ac:dyDescent="0.25">
      <c r="A45" s="56" t="s">
        <v>156</v>
      </c>
      <c r="B45" s="56" t="s">
        <v>293</v>
      </c>
      <c r="C45" s="56">
        <v>6.7000000000000002E-3</v>
      </c>
      <c r="D45" s="56">
        <v>3.66</v>
      </c>
      <c r="E45" s="56">
        <v>1.91</v>
      </c>
      <c r="F45" s="56">
        <v>1.04</v>
      </c>
      <c r="G45" s="56">
        <v>3.65</v>
      </c>
      <c r="H45" s="56">
        <v>1.91</v>
      </c>
      <c r="I45" s="56">
        <v>1.04</v>
      </c>
      <c r="J45" s="56">
        <v>3.66</v>
      </c>
      <c r="K45" s="56">
        <v>1.91</v>
      </c>
      <c r="L45" s="56">
        <v>1.05</v>
      </c>
      <c r="M45" s="56">
        <f t="shared" si="18"/>
        <v>3.6566666666666667</v>
      </c>
      <c r="N45" s="56">
        <f t="shared" si="19"/>
        <v>1.91</v>
      </c>
      <c r="O45" s="56">
        <f t="shared" si="20"/>
        <v>1.0433333333333332</v>
      </c>
      <c r="P45" s="56">
        <f t="shared" si="21"/>
        <v>5.7735026918963907E-3</v>
      </c>
      <c r="Q45" s="56">
        <f t="shared" si="22"/>
        <v>0</v>
      </c>
      <c r="R45" s="56">
        <f t="shared" si="23"/>
        <v>5.7735026918962632E-3</v>
      </c>
      <c r="S45" s="56">
        <f t="shared" si="24"/>
        <v>5.7100205770880494</v>
      </c>
      <c r="T45" s="56">
        <f t="shared" si="25"/>
        <v>5.694419427970324</v>
      </c>
      <c r="U45" s="56">
        <f t="shared" si="26"/>
        <v>5.7649246210985119</v>
      </c>
      <c r="V45" s="56">
        <f t="shared" si="27"/>
        <v>5.7231215420522945</v>
      </c>
      <c r="W45" s="56">
        <f t="shared" si="28"/>
        <v>1.17337580653988E-3</v>
      </c>
      <c r="X45" s="56">
        <f t="shared" si="29"/>
        <v>1.176590534776975E-3</v>
      </c>
      <c r="Y45" s="56">
        <f t="shared" si="30"/>
        <v>1.1622007988585476E-3</v>
      </c>
      <c r="Z45" s="56">
        <f t="shared" si="31"/>
        <v>1.1707223800584675E-3</v>
      </c>
      <c r="AA45" s="56">
        <f t="shared" si="32"/>
        <v>5.7231215420522945</v>
      </c>
      <c r="AB45" s="56">
        <f t="shared" si="33"/>
        <v>1.1706897976514754E-3</v>
      </c>
      <c r="AC45" s="56">
        <f t="shared" si="34"/>
        <v>1170.6897976514754</v>
      </c>
      <c r="AD45" s="55">
        <f t="shared" si="35"/>
        <v>17.721305279879545</v>
      </c>
    </row>
    <row r="46" spans="1:30" x14ac:dyDescent="0.25">
      <c r="A46" s="56" t="s">
        <v>156</v>
      </c>
      <c r="B46" s="56" t="s">
        <v>292</v>
      </c>
      <c r="C46" s="56">
        <v>1.67E-2</v>
      </c>
      <c r="D46" s="56">
        <v>3.64</v>
      </c>
      <c r="E46" s="56">
        <v>1.79</v>
      </c>
      <c r="F46" s="56">
        <v>2.87</v>
      </c>
      <c r="G46" s="56">
        <v>3.63</v>
      </c>
      <c r="H46" s="56">
        <v>1.79</v>
      </c>
      <c r="I46" s="56">
        <v>2.87</v>
      </c>
      <c r="J46" s="56">
        <v>3.64</v>
      </c>
      <c r="K46" s="56">
        <v>1.8</v>
      </c>
      <c r="L46" s="56">
        <v>2.87</v>
      </c>
      <c r="M46" s="56">
        <f t="shared" si="18"/>
        <v>3.6366666666666667</v>
      </c>
      <c r="N46" s="56">
        <f t="shared" si="19"/>
        <v>1.7933333333333332</v>
      </c>
      <c r="O46" s="56">
        <f t="shared" si="20"/>
        <v>2.8699999999999997</v>
      </c>
      <c r="P46" s="56">
        <f t="shared" si="21"/>
        <v>5.7735026918963907E-3</v>
      </c>
      <c r="Q46" s="56">
        <f t="shared" si="22"/>
        <v>5.7735026918962632E-3</v>
      </c>
      <c r="R46" s="56">
        <f t="shared" si="23"/>
        <v>5.4389598220420729E-16</v>
      </c>
      <c r="S46" s="56">
        <f t="shared" si="24"/>
        <v>14.686766584751028</v>
      </c>
      <c r="T46" s="56">
        <f t="shared" si="25"/>
        <v>14.646418324902811</v>
      </c>
      <c r="U46" s="56">
        <f t="shared" si="26"/>
        <v>14.768815560084835</v>
      </c>
      <c r="V46" s="56">
        <f t="shared" si="27"/>
        <v>14.700666823246223</v>
      </c>
      <c r="W46" s="56">
        <f t="shared" si="28"/>
        <v>1.1370780561964721E-3</v>
      </c>
      <c r="X46" s="56">
        <f t="shared" si="29"/>
        <v>1.1402105026322752E-3</v>
      </c>
      <c r="Y46" s="56">
        <f t="shared" si="30"/>
        <v>1.1307609558842693E-3</v>
      </c>
      <c r="Z46" s="56">
        <f t="shared" si="31"/>
        <v>1.1360165049043389E-3</v>
      </c>
      <c r="AA46" s="56">
        <f t="shared" si="32"/>
        <v>14.700666823246223</v>
      </c>
      <c r="AB46" s="56">
        <f t="shared" si="33"/>
        <v>1.1360028902629249E-3</v>
      </c>
      <c r="AC46" s="56">
        <f t="shared" si="34"/>
        <v>1136.0028902629249</v>
      </c>
      <c r="AD46" s="55">
        <f t="shared" si="35"/>
        <v>26.272860109291116</v>
      </c>
    </row>
    <row r="47" spans="1:30" x14ac:dyDescent="0.25">
      <c r="A47" s="56" t="s">
        <v>156</v>
      </c>
      <c r="B47" s="56" t="s">
        <v>291</v>
      </c>
      <c r="C47" s="56">
        <v>3.5000000000000001E-3</v>
      </c>
      <c r="D47" s="56">
        <v>1.61</v>
      </c>
      <c r="E47" s="56">
        <v>2.9</v>
      </c>
      <c r="F47" s="56">
        <v>0.74</v>
      </c>
      <c r="G47" s="56">
        <v>1.6</v>
      </c>
      <c r="H47" s="56">
        <v>0.75</v>
      </c>
      <c r="I47" s="56">
        <v>2.89</v>
      </c>
      <c r="J47" s="56">
        <v>1.61</v>
      </c>
      <c r="K47" s="56">
        <v>0.75</v>
      </c>
      <c r="L47" s="56">
        <v>2.89</v>
      </c>
      <c r="M47" s="56">
        <f t="shared" si="18"/>
        <v>1.6066666666666667</v>
      </c>
      <c r="N47" s="56">
        <f t="shared" si="19"/>
        <v>1.4666666666666668</v>
      </c>
      <c r="O47" s="56">
        <f t="shared" si="20"/>
        <v>2.1733333333333333</v>
      </c>
      <c r="P47" s="56">
        <f t="shared" si="21"/>
        <v>5.7735026918962632E-3</v>
      </c>
      <c r="Q47" s="56">
        <f t="shared" si="22"/>
        <v>1.2413030787576953</v>
      </c>
      <c r="R47" s="56">
        <f t="shared" si="23"/>
        <v>1.2413030787576955</v>
      </c>
      <c r="S47" s="56">
        <f t="shared" si="24"/>
        <v>2.7135977784279879</v>
      </c>
      <c r="T47" s="56">
        <f t="shared" si="25"/>
        <v>2.7237608306623509</v>
      </c>
      <c r="U47" s="56">
        <f t="shared" si="26"/>
        <v>2.7407843358539905</v>
      </c>
      <c r="V47" s="56">
        <f t="shared" si="27"/>
        <v>2.7260476483147769</v>
      </c>
      <c r="W47" s="56">
        <f t="shared" si="28"/>
        <v>1.2898005842367627E-3</v>
      </c>
      <c r="X47" s="56">
        <f t="shared" si="29"/>
        <v>1.2849880065089589E-3</v>
      </c>
      <c r="Y47" s="56">
        <f t="shared" si="30"/>
        <v>1.2770067145430647E-3</v>
      </c>
      <c r="Z47" s="56">
        <f t="shared" si="31"/>
        <v>1.2839317684295954E-3</v>
      </c>
      <c r="AA47" s="56">
        <f t="shared" si="32"/>
        <v>2.7260476483147769</v>
      </c>
      <c r="AB47" s="56">
        <f t="shared" si="33"/>
        <v>1.2839100601061302E-3</v>
      </c>
      <c r="AC47" s="56">
        <f t="shared" si="34"/>
        <v>1283.9100601061302</v>
      </c>
      <c r="AD47" s="55">
        <f t="shared" si="35"/>
        <v>16.77191597996471</v>
      </c>
    </row>
    <row r="48" spans="1:30" x14ac:dyDescent="0.25">
      <c r="A48" s="56" t="s">
        <v>156</v>
      </c>
      <c r="B48" s="56" t="s">
        <v>290</v>
      </c>
      <c r="C48" s="56">
        <v>2.8299999999999999E-2</v>
      </c>
      <c r="D48" s="56">
        <v>4.7699999999999996</v>
      </c>
      <c r="E48" s="56">
        <v>2.87</v>
      </c>
      <c r="F48" s="56">
        <v>2.86</v>
      </c>
      <c r="G48" s="56">
        <v>4.75</v>
      </c>
      <c r="H48" s="56">
        <v>2.87</v>
      </c>
      <c r="I48" s="56">
        <v>2.3199999999999998</v>
      </c>
      <c r="J48" s="56">
        <v>4.75</v>
      </c>
      <c r="K48" s="56">
        <v>2.86</v>
      </c>
      <c r="L48" s="56">
        <v>2.33</v>
      </c>
      <c r="M48" s="56">
        <f t="shared" si="18"/>
        <v>4.7566666666666668</v>
      </c>
      <c r="N48" s="56">
        <f t="shared" si="19"/>
        <v>2.8666666666666667</v>
      </c>
      <c r="O48" s="56">
        <f t="shared" si="20"/>
        <v>2.5033333333333334</v>
      </c>
      <c r="P48" s="56">
        <f t="shared" si="21"/>
        <v>1.154700538379227E-2</v>
      </c>
      <c r="Q48" s="56">
        <f t="shared" si="22"/>
        <v>5.7735026918963907E-3</v>
      </c>
      <c r="R48" s="56">
        <f t="shared" si="23"/>
        <v>0.3089228598426027</v>
      </c>
      <c r="S48" s="56">
        <f t="shared" si="24"/>
        <v>30.75078382689092</v>
      </c>
      <c r="T48" s="56">
        <f t="shared" si="25"/>
        <v>24.840101873036456</v>
      </c>
      <c r="U48" s="56">
        <f t="shared" si="26"/>
        <v>24.8602473359276</v>
      </c>
      <c r="V48" s="56">
        <f t="shared" si="27"/>
        <v>26.817044345284994</v>
      </c>
      <c r="W48" s="56">
        <f t="shared" si="28"/>
        <v>9.203017444795094E-4</v>
      </c>
      <c r="X48" s="56">
        <f t="shared" si="29"/>
        <v>1.1392867929708133E-3</v>
      </c>
      <c r="Y48" s="56">
        <f t="shared" si="30"/>
        <v>1.1383635736842137E-3</v>
      </c>
      <c r="Z48" s="56">
        <f t="shared" si="31"/>
        <v>1.0659840370448456E-3</v>
      </c>
      <c r="AA48" s="56">
        <f t="shared" si="32"/>
        <v>26.817044345284994</v>
      </c>
      <c r="AB48" s="56">
        <f t="shared" si="33"/>
        <v>1.055298996996876E-3</v>
      </c>
      <c r="AC48" s="56">
        <f t="shared" si="34"/>
        <v>1055.298996996876</v>
      </c>
      <c r="AD48" s="55">
        <f t="shared" si="35"/>
        <v>48.361677309361269</v>
      </c>
    </row>
    <row r="49" spans="1:30" x14ac:dyDescent="0.25">
      <c r="A49" s="56" t="s">
        <v>156</v>
      </c>
      <c r="B49" s="56" t="s">
        <v>289</v>
      </c>
      <c r="C49" s="56">
        <v>1.41E-2</v>
      </c>
      <c r="D49" s="56">
        <v>3.68</v>
      </c>
      <c r="E49" s="56">
        <v>1.83</v>
      </c>
      <c r="F49" s="56">
        <v>2.29</v>
      </c>
      <c r="G49" s="56">
        <v>3.69</v>
      </c>
      <c r="H49" s="56">
        <v>1.82</v>
      </c>
      <c r="I49" s="56">
        <v>2.29</v>
      </c>
      <c r="J49" s="56">
        <v>3.68</v>
      </c>
      <c r="K49" s="56">
        <v>1.83</v>
      </c>
      <c r="L49" s="56">
        <v>2.29</v>
      </c>
      <c r="M49" s="56">
        <f t="shared" si="18"/>
        <v>3.6833333333333336</v>
      </c>
      <c r="N49" s="56">
        <f t="shared" si="19"/>
        <v>1.8266666666666669</v>
      </c>
      <c r="O49" s="56">
        <f t="shared" si="20"/>
        <v>2.29</v>
      </c>
      <c r="P49" s="56">
        <f t="shared" si="21"/>
        <v>5.7735026918961348E-3</v>
      </c>
      <c r="Q49" s="56">
        <f t="shared" si="22"/>
        <v>5.7735026918962632E-3</v>
      </c>
      <c r="R49" s="56">
        <f t="shared" si="23"/>
        <v>0</v>
      </c>
      <c r="S49" s="56">
        <f t="shared" si="24"/>
        <v>12.11223454672685</v>
      </c>
      <c r="T49" s="56">
        <f t="shared" si="25"/>
        <v>12.078781297355095</v>
      </c>
      <c r="U49" s="56">
        <f t="shared" si="26"/>
        <v>12.11223454672685</v>
      </c>
      <c r="V49" s="56">
        <f t="shared" si="27"/>
        <v>12.101083463602933</v>
      </c>
      <c r="W49" s="56">
        <f t="shared" si="28"/>
        <v>1.1641121995784266E-3</v>
      </c>
      <c r="X49" s="56">
        <f t="shared" si="29"/>
        <v>1.1673363109147026E-3</v>
      </c>
      <c r="Y49" s="56">
        <f t="shared" si="30"/>
        <v>1.1641121995784266E-3</v>
      </c>
      <c r="Z49" s="56">
        <f t="shared" si="31"/>
        <v>1.1651869033571854E-3</v>
      </c>
      <c r="AA49" s="56">
        <f t="shared" si="32"/>
        <v>12.101083463602933</v>
      </c>
      <c r="AB49" s="56">
        <f t="shared" si="33"/>
        <v>1.1651849226897173E-3</v>
      </c>
      <c r="AC49" s="56">
        <f t="shared" si="34"/>
        <v>1165.1849226897173</v>
      </c>
      <c r="AD49" s="55">
        <f t="shared" si="35"/>
        <v>23.624078623294452</v>
      </c>
    </row>
    <row r="50" spans="1:30" x14ac:dyDescent="0.25">
      <c r="A50" s="56" t="s">
        <v>156</v>
      </c>
      <c r="B50" s="56" t="s">
        <v>288</v>
      </c>
      <c r="C50" s="56">
        <v>6.8999999999999999E-3</v>
      </c>
      <c r="D50" s="56">
        <v>2.66</v>
      </c>
      <c r="E50" s="56">
        <v>1.31</v>
      </c>
      <c r="F50" s="56">
        <v>2.29</v>
      </c>
      <c r="G50" s="56">
        <v>2.64</v>
      </c>
      <c r="H50" s="56">
        <v>1.3</v>
      </c>
      <c r="I50" s="56">
        <v>2.29</v>
      </c>
      <c r="J50" s="56">
        <v>2.64</v>
      </c>
      <c r="K50" s="56">
        <v>1.3</v>
      </c>
      <c r="L50" s="56">
        <v>2.2799999999999998</v>
      </c>
      <c r="M50" s="56">
        <f t="shared" si="18"/>
        <v>2.6466666666666669</v>
      </c>
      <c r="N50" s="56">
        <f t="shared" si="19"/>
        <v>1.3033333333333335</v>
      </c>
      <c r="O50" s="56">
        <f t="shared" si="20"/>
        <v>2.2866666666666666</v>
      </c>
      <c r="P50" s="56">
        <f t="shared" si="21"/>
        <v>1.1547005383792526E-2</v>
      </c>
      <c r="Q50" s="56">
        <f t="shared" si="22"/>
        <v>5.7735026918962632E-3</v>
      </c>
      <c r="R50" s="56">
        <f t="shared" si="23"/>
        <v>5.7735026918963907E-3</v>
      </c>
      <c r="S50" s="56">
        <f t="shared" si="24"/>
        <v>6.2672684280001745</v>
      </c>
      <c r="T50" s="56">
        <f t="shared" si="25"/>
        <v>6.1726640776262975</v>
      </c>
      <c r="U50" s="56">
        <f t="shared" si="26"/>
        <v>6.1457092126584971</v>
      </c>
      <c r="V50" s="56">
        <f t="shared" si="27"/>
        <v>6.1952139060949891</v>
      </c>
      <c r="W50" s="56">
        <f t="shared" si="28"/>
        <v>1.1009581094648796E-3</v>
      </c>
      <c r="X50" s="56">
        <f t="shared" si="29"/>
        <v>1.1178317681355826E-3</v>
      </c>
      <c r="Y50" s="56">
        <f t="shared" si="30"/>
        <v>1.122734539048458E-3</v>
      </c>
      <c r="Z50" s="56">
        <f t="shared" si="31"/>
        <v>1.1138414722163068E-3</v>
      </c>
      <c r="AA50" s="56">
        <f t="shared" si="32"/>
        <v>6.1952139060949891</v>
      </c>
      <c r="AB50" s="56">
        <f t="shared" si="33"/>
        <v>1.113762995852593E-3</v>
      </c>
      <c r="AC50" s="56">
        <f t="shared" si="34"/>
        <v>1113.7629958525931</v>
      </c>
      <c r="AD50" s="55">
        <f t="shared" si="35"/>
        <v>14.699407306391524</v>
      </c>
    </row>
    <row r="51" spans="1:30" x14ac:dyDescent="0.25">
      <c r="A51" s="56" t="s">
        <v>156</v>
      </c>
      <c r="B51" s="56" t="s">
        <v>287</v>
      </c>
      <c r="C51" s="56">
        <v>2.75E-2</v>
      </c>
      <c r="D51" s="56">
        <v>4.6399999999999997</v>
      </c>
      <c r="E51" s="56">
        <v>2.2599999999999998</v>
      </c>
      <c r="F51" s="56">
        <v>2.9</v>
      </c>
      <c r="G51" s="56">
        <v>4.63</v>
      </c>
      <c r="H51" s="56">
        <v>2.2599999999999998</v>
      </c>
      <c r="I51" s="56">
        <v>2.88</v>
      </c>
      <c r="J51" s="56">
        <v>4.63</v>
      </c>
      <c r="K51" s="56">
        <v>2.27</v>
      </c>
      <c r="L51" s="56">
        <v>2.87</v>
      </c>
      <c r="M51" s="56">
        <f t="shared" si="18"/>
        <v>4.6333333333333329</v>
      </c>
      <c r="N51" s="56">
        <f t="shared" si="19"/>
        <v>2.2633333333333332</v>
      </c>
      <c r="O51" s="56">
        <f t="shared" si="20"/>
        <v>2.8833333333333329</v>
      </c>
      <c r="P51" s="56">
        <f t="shared" si="21"/>
        <v>5.7735026918961348E-3</v>
      </c>
      <c r="Q51" s="56">
        <f t="shared" si="22"/>
        <v>5.7735026918963907E-3</v>
      </c>
      <c r="R51" s="56">
        <f t="shared" si="23"/>
        <v>1.5275252316519383E-2</v>
      </c>
      <c r="S51" s="56">
        <f t="shared" si="24"/>
        <v>23.8843979718879</v>
      </c>
      <c r="T51" s="56">
        <f t="shared" si="25"/>
        <v>23.668557990215668</v>
      </c>
      <c r="U51" s="56">
        <f t="shared" si="26"/>
        <v>23.690739990544508</v>
      </c>
      <c r="V51" s="56">
        <f t="shared" si="27"/>
        <v>23.747898650882689</v>
      </c>
      <c r="W51" s="56">
        <f t="shared" si="28"/>
        <v>1.1513792406393365E-3</v>
      </c>
      <c r="X51" s="56">
        <f t="shared" si="29"/>
        <v>1.1618789793348715E-3</v>
      </c>
      <c r="Y51" s="56">
        <f t="shared" si="30"/>
        <v>1.1607910943674977E-3</v>
      </c>
      <c r="Z51" s="56">
        <f t="shared" si="31"/>
        <v>1.1580164381139019E-3</v>
      </c>
      <c r="AA51" s="56">
        <f t="shared" si="32"/>
        <v>23.747898650882689</v>
      </c>
      <c r="AB51" s="56">
        <f t="shared" si="33"/>
        <v>1.1579971939528993E-3</v>
      </c>
      <c r="AC51" s="56">
        <f t="shared" si="34"/>
        <v>1157.9971939528994</v>
      </c>
      <c r="AD51" s="55">
        <f t="shared" si="35"/>
        <v>36.59522599777614</v>
      </c>
    </row>
    <row r="52" spans="1:30" x14ac:dyDescent="0.25">
      <c r="A52" s="56" t="s">
        <v>156</v>
      </c>
      <c r="B52" s="56" t="s">
        <v>286</v>
      </c>
      <c r="C52" s="56">
        <v>1.1000000000000001E-3</v>
      </c>
      <c r="D52" s="56">
        <v>1.7</v>
      </c>
      <c r="E52" s="56">
        <v>0.76</v>
      </c>
      <c r="F52" s="56">
        <v>1.71</v>
      </c>
      <c r="G52" s="56">
        <v>1.69</v>
      </c>
      <c r="H52" s="56">
        <v>0.77</v>
      </c>
      <c r="I52" s="56">
        <v>1.72</v>
      </c>
      <c r="J52" s="56">
        <v>1.7</v>
      </c>
      <c r="K52" s="56">
        <v>0.77</v>
      </c>
      <c r="L52" s="56">
        <v>1.71</v>
      </c>
      <c r="M52" s="56">
        <f t="shared" si="18"/>
        <v>1.6966666666666665</v>
      </c>
      <c r="N52" s="56">
        <f t="shared" si="19"/>
        <v>0.76666666666666661</v>
      </c>
      <c r="O52" s="56">
        <f t="shared" si="20"/>
        <v>1.7133333333333332</v>
      </c>
      <c r="P52" s="56">
        <f t="shared" si="21"/>
        <v>5.7735026918962632E-3</v>
      </c>
      <c r="Q52" s="56">
        <f t="shared" si="22"/>
        <v>5.7735026918962632E-3</v>
      </c>
      <c r="R52" s="56">
        <f t="shared" si="23"/>
        <v>5.7735026918962632E-3</v>
      </c>
      <c r="S52" s="56">
        <f t="shared" si="24"/>
        <v>1.7351958703572503</v>
      </c>
      <c r="T52" s="56">
        <f t="shared" si="25"/>
        <v>1.7579064436500509</v>
      </c>
      <c r="U52" s="56">
        <f t="shared" si="26"/>
        <v>1.7580273949672143</v>
      </c>
      <c r="V52" s="56">
        <f t="shared" si="27"/>
        <v>1.7503765696581717</v>
      </c>
      <c r="W52" s="56">
        <f t="shared" si="28"/>
        <v>6.3393419658930316E-4</v>
      </c>
      <c r="X52" s="56">
        <f t="shared" si="29"/>
        <v>6.2574433581118313E-4</v>
      </c>
      <c r="Y52" s="56">
        <f t="shared" si="30"/>
        <v>6.2570128494528611E-4</v>
      </c>
      <c r="Z52" s="56">
        <f t="shared" si="31"/>
        <v>6.284599391152575E-4</v>
      </c>
      <c r="AA52" s="56">
        <f t="shared" si="32"/>
        <v>1.7503765696581717</v>
      </c>
      <c r="AB52" s="56">
        <f t="shared" si="33"/>
        <v>6.2843619999713399E-4</v>
      </c>
      <c r="AC52" s="56">
        <f t="shared" si="34"/>
        <v>628.43619999713394</v>
      </c>
      <c r="AD52" s="55">
        <f t="shared" si="35"/>
        <v>5.9732148320253922</v>
      </c>
    </row>
    <row r="55" spans="1:30" x14ac:dyDescent="0.25">
      <c r="A55" s="54" t="s">
        <v>285</v>
      </c>
      <c r="B55" s="54"/>
      <c r="C55" s="54"/>
      <c r="D55" s="54"/>
      <c r="E55" s="54"/>
      <c r="F55" s="54"/>
    </row>
    <row r="56" spans="1:30" x14ac:dyDescent="0.25">
      <c r="A56" s="76" t="s">
        <v>284</v>
      </c>
      <c r="B56" s="76"/>
      <c r="C56" s="76"/>
      <c r="D56" s="76"/>
      <c r="E56" s="76"/>
      <c r="F56" s="54"/>
      <c r="G56" s="54"/>
      <c r="H56" s="54"/>
    </row>
    <row r="57" spans="1:30" x14ac:dyDescent="0.25">
      <c r="A57" s="76" t="s">
        <v>283</v>
      </c>
      <c r="B57" s="76"/>
      <c r="C57" s="76"/>
      <c r="D57" s="76"/>
      <c r="E57" s="76"/>
      <c r="F57" s="76"/>
      <c r="G57" s="76"/>
      <c r="H57" s="76"/>
      <c r="I57" s="76"/>
      <c r="J57" s="76"/>
      <c r="K57" s="76"/>
    </row>
    <row r="58" spans="1:30" x14ac:dyDescent="0.25">
      <c r="A58" s="76" t="s">
        <v>282</v>
      </c>
      <c r="B58" s="76"/>
      <c r="C58" s="76"/>
      <c r="D58" s="76"/>
      <c r="E58" s="76"/>
      <c r="F58" s="76"/>
      <c r="G58" s="76"/>
      <c r="H58" s="76"/>
      <c r="I58" s="76"/>
      <c r="J58" s="76"/>
      <c r="K58" s="76"/>
    </row>
    <row r="59" spans="1:30" x14ac:dyDescent="0.25">
      <c r="A59" s="76" t="s">
        <v>281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</row>
    <row r="60" spans="1:30" x14ac:dyDescent="0.25">
      <c r="A60" s="76" t="s">
        <v>280</v>
      </c>
      <c r="B60" s="76"/>
      <c r="C60" s="76"/>
      <c r="D60" s="76"/>
      <c r="E60" s="76"/>
      <c r="F60" s="76"/>
      <c r="G60" s="76"/>
      <c r="H60" s="76"/>
      <c r="I60" s="76"/>
      <c r="J60" s="76"/>
      <c r="K60" s="76"/>
    </row>
    <row r="61" spans="1:30" x14ac:dyDescent="0.25">
      <c r="A61" s="54" t="s">
        <v>279</v>
      </c>
      <c r="B61" s="54"/>
      <c r="C61" s="54"/>
      <c r="D61" s="54"/>
      <c r="E61" s="54"/>
      <c r="F61" s="54"/>
    </row>
    <row r="62" spans="1:30" x14ac:dyDescent="0.25">
      <c r="A62" s="76" t="s">
        <v>278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</row>
    <row r="63" spans="1:30" x14ac:dyDescent="0.25">
      <c r="A63" s="76" t="s">
        <v>277</v>
      </c>
      <c r="B63" s="76"/>
      <c r="C63" s="76"/>
      <c r="D63" s="76"/>
      <c r="E63" s="76"/>
      <c r="F63" s="76"/>
      <c r="G63" s="76"/>
      <c r="H63" s="76"/>
      <c r="I63" s="76"/>
      <c r="J63" s="76"/>
      <c r="K63" s="76"/>
    </row>
  </sheetData>
  <mergeCells count="12">
    <mergeCell ref="P1:R1"/>
    <mergeCell ref="M1:O1"/>
    <mergeCell ref="A59:K59"/>
    <mergeCell ref="A60:K60"/>
    <mergeCell ref="A62:K62"/>
    <mergeCell ref="A58:K58"/>
    <mergeCell ref="A56:E56"/>
    <mergeCell ref="A57:K57"/>
    <mergeCell ref="A63:K63"/>
    <mergeCell ref="D1:F1"/>
    <mergeCell ref="G1:I1"/>
    <mergeCell ref="J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ABS CYLINDER</vt:lpstr>
      <vt:lpstr>ABS HC</vt:lpstr>
      <vt:lpstr>PLA CYLINDER </vt:lpstr>
      <vt:lpstr>PLA CUBE </vt:lpstr>
      <vt:lpstr>PLA HC </vt:lpstr>
      <vt:lpstr>PS EC </vt:lpstr>
      <vt:lpstr>RESIN (a=9 mm)</vt:lpstr>
      <vt:lpstr>RESIN (a=6 mm) </vt:lpstr>
      <vt:lpstr>P6 BSP </vt:lpstr>
      <vt:lpstr>P6 HC </vt:lpstr>
      <vt:lpstr>P6 CYLINDER </vt:lpstr>
      <vt:lpstr>PMMA BSP</vt:lpstr>
      <vt:lpstr>PMMA Cylinder</vt:lpstr>
      <vt:lpstr>PMMA Wedge-Shaped</vt:lpstr>
      <vt:lpstr>PMMA Half Cylinder</vt:lpstr>
      <vt:lpstr>'PLA CUBE '!Print_Area</vt:lpstr>
      <vt:lpstr>'PLA CYLINDER '!Print_Area</vt:lpstr>
      <vt:lpstr>'PS EC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İpek OKTAMIŞ</cp:lastModifiedBy>
  <cp:lastPrinted>2024-12-04T06:05:13Z</cp:lastPrinted>
  <dcterms:created xsi:type="dcterms:W3CDTF">2024-10-13T11:15:48Z</dcterms:created>
  <dcterms:modified xsi:type="dcterms:W3CDTF">2025-11-10T12:14:18Z</dcterms:modified>
</cp:coreProperties>
</file>